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8bb173e243c76/Desktop/Myriad/"/>
    </mc:Choice>
  </mc:AlternateContent>
  <xr:revisionPtr revIDLastSave="708" documentId="8_{1ECAAEC0-6C4C-49E2-8268-8F1B4819FA50}" xr6:coauthVersionLast="47" xr6:coauthVersionMax="47" xr10:uidLastSave="{0D833F69-FFD3-4C92-A6B4-C7D171E93D4F}"/>
  <bookViews>
    <workbookView xWindow="-110" yWindow="-110" windowWidth="19420" windowHeight="10300" tabRatio="812" firstSheet="13" activeTab="20" xr2:uid="{6201F6F4-FA79-4E7F-924C-C8C5CBD2AF39}"/>
  </bookViews>
  <sheets>
    <sheet name="Fuel Prices" sheetId="1" r:id="rId1"/>
    <sheet name="CPI Old" sheetId="25" r:id="rId2"/>
    <sheet name="CPI" sheetId="14" r:id="rId3"/>
    <sheet name="Inflation" sheetId="2" r:id="rId4"/>
    <sheet name="I R Old" sheetId="26" r:id="rId5"/>
    <sheet name="Interest Rates" sheetId="5" r:id="rId6"/>
    <sheet name="NSE" sheetId="6" r:id="rId7"/>
    <sheet name="Money Supply" sheetId="7" r:id="rId8"/>
    <sheet name="Forex Reserves" sheetId="8" r:id="rId9"/>
    <sheet name="Coffee" sheetId="9" r:id="rId10"/>
    <sheet name="Tea" sheetId="10" r:id="rId11"/>
    <sheet name="Tea&amp;Coffe Exo" sheetId="11" r:id="rId12"/>
    <sheet name="External Trade" sheetId="12" r:id="rId13"/>
    <sheet name="Mobile Money Trans" sheetId="16" r:id="rId14"/>
    <sheet name="Intl ICT Trade" sheetId="24" r:id="rId15"/>
    <sheet name="Electricity Source" sheetId="3" r:id="rId16"/>
    <sheet name="Vehicle assembly" sheetId="4" r:id="rId17"/>
    <sheet name="Visitors arrival" sheetId="13" r:id="rId18"/>
    <sheet name="Vehicle Reg" sheetId="21" r:id="rId19"/>
    <sheet name="SGR" sheetId="22" r:id="rId20"/>
    <sheet name="Port" sheetId="23" r:id="rId21"/>
  </sheets>
  <definedNames>
    <definedName name="_xlnm._FilterDatabase" localSheetId="12" hidden="1">'External Trade'!$C$3:$H$210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3" l="1"/>
  <c r="H61" i="23"/>
  <c r="O224" i="21"/>
  <c r="O225" i="21"/>
  <c r="O226" i="21"/>
  <c r="O227" i="21"/>
  <c r="O228" i="21"/>
  <c r="O229" i="21"/>
  <c r="O230" i="21"/>
  <c r="O231" i="21"/>
  <c r="O232" i="21"/>
  <c r="O233" i="21"/>
  <c r="B232" i="1"/>
  <c r="B231" i="1"/>
  <c r="B230" i="1"/>
  <c r="B229" i="1"/>
  <c r="B228" i="1"/>
  <c r="B227" i="1"/>
  <c r="B226" i="1"/>
  <c r="B225" i="1"/>
  <c r="F235" i="9"/>
  <c r="F236" i="9"/>
  <c r="F237" i="9"/>
  <c r="F238" i="9"/>
  <c r="F239" i="9"/>
  <c r="F240" i="9"/>
  <c r="F241" i="9"/>
  <c r="F242" i="9"/>
  <c r="F243" i="9"/>
  <c r="O221" i="21"/>
  <c r="O222" i="21"/>
  <c r="O223" i="21"/>
  <c r="O220" i="21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09" i="13"/>
  <c r="B221" i="1"/>
  <c r="B222" i="1"/>
  <c r="B223" i="1"/>
  <c r="B224" i="1"/>
  <c r="F232" i="9"/>
  <c r="F233" i="9"/>
  <c r="F234" i="9"/>
  <c r="Y17" i="4"/>
  <c r="B218" i="1"/>
  <c r="B219" i="1"/>
  <c r="B220" i="1"/>
  <c r="F229" i="9"/>
  <c r="F230" i="9"/>
  <c r="F231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7" i="9"/>
  <c r="F6" i="9"/>
  <c r="F5" i="9"/>
  <c r="F4" i="9"/>
  <c r="X17" i="4"/>
  <c r="W17" i="4"/>
  <c r="B217" i="1"/>
  <c r="B216" i="1"/>
  <c r="B215" i="1"/>
  <c r="B214" i="1"/>
  <c r="B213" i="1"/>
  <c r="B212" i="1"/>
  <c r="B211" i="1"/>
  <c r="B21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5" i="1"/>
</calcChain>
</file>

<file path=xl/sharedStrings.xml><?xml version="1.0" encoding="utf-8"?>
<sst xmlns="http://schemas.openxmlformats.org/spreadsheetml/2006/main" count="326" uniqueCount="173">
  <si>
    <t>Period</t>
  </si>
  <si>
    <t>Motor Gasoline Premium (KSh per Litre)</t>
  </si>
  <si>
    <t>Light Diesel Oil (KSh per Litre)</t>
  </si>
  <si>
    <t>I lluminating Kerosene (KSh per Litre)</t>
  </si>
  <si>
    <t>Date</t>
  </si>
  <si>
    <t>PERIOD</t>
  </si>
  <si>
    <t>NAIROBI INDEX</t>
  </si>
  <si>
    <t>REST* OF URBAN TOWNS INDEX</t>
  </si>
  <si>
    <t>OVERALL KENYA INDEX</t>
  </si>
  <si>
    <t>OVERALL MONTH ON MONTH INFLATION RATE***</t>
  </si>
  <si>
    <t>UNDERLYING INFLATION RATE****</t>
  </si>
  <si>
    <t>June</t>
  </si>
  <si>
    <t>January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</si>
  <si>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</si>
  <si>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</si>
  <si>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</si>
  <si>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</si>
  <si>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</si>
  <si>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</si>
  <si>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</si>
  <si>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</si>
  <si>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</si>
  <si>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</si>
  <si>
    <t>MONTHS</t>
  </si>
  <si>
    <t>Average Yield</t>
  </si>
  <si>
    <t>Rates</t>
  </si>
  <si>
    <t>91 - Days</t>
  </si>
  <si>
    <t>Treasury Bills</t>
  </si>
  <si>
    <t>(Weighted Average)</t>
  </si>
  <si>
    <t>Overdraft</t>
  </si>
  <si>
    <t>Inter - Bank</t>
  </si>
  <si>
    <t>Savings</t>
  </si>
  <si>
    <t>(Commercial Banks Rates)</t>
  </si>
  <si>
    <t>MONTH</t>
  </si>
  <si>
    <t>VALUE OF SHARES</t>
  </si>
  <si>
    <t>TOTAL (M2)</t>
  </si>
  <si>
    <t>CENTRAL MONETARY AUTHORITY</t>
  </si>
  <si>
    <t>COMMERCIAL BANKS</t>
  </si>
  <si>
    <t>GROSS TOTAL</t>
  </si>
  <si>
    <t>NET FOREIGN EXCHANGE RESERVES</t>
  </si>
  <si>
    <t>CENTRAL BANK</t>
  </si>
  <si>
    <t>CENTRAL GOVERNMENT</t>
  </si>
  <si>
    <t>TOTAL</t>
  </si>
  <si>
    <t>Months</t>
  </si>
  <si>
    <t>Total</t>
  </si>
  <si>
    <t>Month</t>
  </si>
  <si>
    <t>TEA</t>
  </si>
  <si>
    <t>HORTICULTURE</t>
  </si>
  <si>
    <t>Exports</t>
  </si>
  <si>
    <t>Re-Exports</t>
  </si>
  <si>
    <t>Total Exports</t>
  </si>
  <si>
    <t>Total Imports</t>
  </si>
  <si>
    <t>Imports</t>
  </si>
  <si>
    <t>HYDRO</t>
  </si>
  <si>
    <t>GEO - THERMAL</t>
  </si>
  <si>
    <t>THERMAL</t>
  </si>
  <si>
    <t>Million Kwh</t>
  </si>
  <si>
    <t>JKIA</t>
  </si>
  <si>
    <t>MIA</t>
  </si>
  <si>
    <t>Saloons</t>
  </si>
  <si>
    <t>St,Wagon</t>
  </si>
  <si>
    <t>Vans,P/Ups,etc</t>
  </si>
  <si>
    <t>M/Buses</t>
  </si>
  <si>
    <t>Buses</t>
  </si>
  <si>
    <t>Lorries</t>
  </si>
  <si>
    <t>Trailers</t>
  </si>
  <si>
    <t>Motors Cycles</t>
  </si>
  <si>
    <t>3 Whellers</t>
  </si>
  <si>
    <t>Wheeled  tractors</t>
  </si>
  <si>
    <t>Others</t>
  </si>
  <si>
    <t>SHARES INDEX</t>
  </si>
  <si>
    <t>-</t>
  </si>
  <si>
    <t>Visitors to Kenya</t>
  </si>
  <si>
    <t>NAIROBI LOWER INCOME</t>
  </si>
  <si>
    <t>NAIROBI MIDDLE INCOME</t>
  </si>
  <si>
    <t>NAIROBI UPPER INCOME</t>
  </si>
  <si>
    <t>NAIROBI COMBINED</t>
  </si>
  <si>
    <t>PROVINCES EXCEPT NAIROBI</t>
  </si>
  <si>
    <t>KENYA CPI</t>
  </si>
  <si>
    <t>rebased to Feb 2009  = 100</t>
  </si>
  <si>
    <t>Rates for Commercial Banks Loans and Advances</t>
  </si>
  <si>
    <t>NUMBER OF</t>
  </si>
  <si>
    <t>TRANSACTIONS</t>
  </si>
  <si>
    <t>SHARES (Million)</t>
  </si>
  <si>
    <t>(Million KSh)</t>
  </si>
  <si>
    <t>NBFI</t>
  </si>
  <si>
    <t>Month/Year</t>
  </si>
  <si>
    <t>Foreign currency deposits</t>
  </si>
  <si>
    <t>Automatic data processing machines, storage units etc</t>
  </si>
  <si>
    <t>No. Passengers</t>
  </si>
  <si>
    <t>Revenue (KSh)</t>
  </si>
  <si>
    <t>Tonnage</t>
  </si>
  <si>
    <t>Mobile money Agents</t>
  </si>
  <si>
    <t>Dry General-Containerized</t>
  </si>
  <si>
    <t>Dry General- Conventional</t>
  </si>
  <si>
    <t>Dry Bulk</t>
  </si>
  <si>
    <t>Other Bulk Liquids</t>
  </si>
  <si>
    <t>Sub-Total</t>
  </si>
  <si>
    <t>Dry General-Conventional</t>
  </si>
  <si>
    <t>Bunkers</t>
  </si>
  <si>
    <t>Transhipment</t>
  </si>
  <si>
    <t>Restows</t>
  </si>
  <si>
    <t>Grand Total</t>
  </si>
  <si>
    <t>..</t>
  </si>
  <si>
    <t>7…37</t>
  </si>
  <si>
    <t>PERIOD(MY/MY-1)</t>
  </si>
  <si>
    <t>Average Yield Rates 91-Days Treasury Bills</t>
  </si>
  <si>
    <t>Rates for Commercial Loans and Advances</t>
  </si>
  <si>
    <t>Overdraft Rates</t>
  </si>
  <si>
    <t>Inter-Bank Rates</t>
  </si>
  <si>
    <t>Average Deposit Rates</t>
  </si>
  <si>
    <t>Savings(Commercial Banks Rates</t>
  </si>
  <si>
    <t>Central bank Rates</t>
  </si>
  <si>
    <t>QUASI -MONEY</t>
  </si>
  <si>
    <t>MONEY &amp; QUASI-MONEY</t>
  </si>
  <si>
    <t>M3</t>
  </si>
  <si>
    <t>2,117       765,921</t>
  </si>
  <si>
    <t>2,102       765,725</t>
  </si>
  <si>
    <t>2,081       934,617</t>
  </si>
  <si>
    <t>2,046       948,708</t>
  </si>
  <si>
    <t>2,036       941,210</t>
  </si>
  <si>
    <t>2,036       903,504</t>
  </si>
  <si>
    <t>1,998       917,169</t>
  </si>
  <si>
    <t>1,997       895,029</t>
  </si>
  <si>
    <t>1,995       887,085</t>
  </si>
  <si>
    <t>1,992       864,900</t>
  </si>
  <si>
    <t>2,009       848,774</t>
  </si>
  <si>
    <t>2,009       851,917</t>
  </si>
  <si>
    <t>2,001       861,629</t>
  </si>
  <si>
    <t>1,981       857,471</t>
  </si>
  <si>
    <t>1,982       859,130</t>
  </si>
  <si>
    <t>1,989       850,268</t>
  </si>
  <si>
    <t>1,975     1,057,886</t>
  </si>
  <si>
    <t>1,995     1,050,590</t>
  </si>
  <si>
    <t>2,020     1,032,403</t>
  </si>
  <si>
    <t>2,004       992,219</t>
  </si>
  <si>
    <t>2,004       979,695</t>
  </si>
  <si>
    <t>2,014       964,200</t>
  </si>
  <si>
    <t>1,997       940,145</t>
  </si>
  <si>
    <t>Domestic Exports</t>
  </si>
  <si>
    <t>Volume of Trade</t>
  </si>
  <si>
    <t>Home use Imports</t>
  </si>
  <si>
    <t>As at the end of Month</t>
  </si>
  <si>
    <t>Mobile money Subscriptions (millions)</t>
  </si>
  <si>
    <t>Number of Transactions(Millions)</t>
  </si>
  <si>
    <t>Value (KSh billions)</t>
  </si>
  <si>
    <t>WIND</t>
  </si>
  <si>
    <t>CO-GENERATION</t>
  </si>
  <si>
    <t>SOLAR</t>
  </si>
  <si>
    <t>P/UP</t>
  </si>
  <si>
    <t>P.O.L1</t>
  </si>
  <si>
    <t>Telecommunications equipment 6</t>
  </si>
  <si>
    <t>Recording equipments 5</t>
  </si>
  <si>
    <t>Reception apparatus for radio broadcasting4</t>
  </si>
  <si>
    <t>Monitors and projectors and reception apparatus for television3</t>
  </si>
  <si>
    <t>Part and accessories 2</t>
  </si>
  <si>
    <t>Office machines 1</t>
  </si>
  <si>
    <t>135.4 7</t>
  </si>
  <si>
    <t>1.830.13</t>
  </si>
  <si>
    <t>PRICE(Ksh/Kg)</t>
  </si>
  <si>
    <t>L.P.G (KSh per 13 kg)</t>
  </si>
  <si>
    <t>Charcoal (KSh per Kg)</t>
  </si>
  <si>
    <t>MONEY(M1)</t>
  </si>
  <si>
    <t>%CHANGE</t>
  </si>
  <si>
    <t>QUANTITY (MT)</t>
  </si>
  <si>
    <t>PRICE ($/kg)</t>
  </si>
  <si>
    <t>PRICE(Ksh/kg)</t>
  </si>
  <si>
    <t>PRICE($/kg)</t>
  </si>
  <si>
    <t>PRICE(kshs/kg)</t>
  </si>
  <si>
    <t>COFFEE</t>
  </si>
  <si>
    <t>VALUE (Ksh. Million)</t>
  </si>
  <si>
    <t>QUANTITY PRODUCED (MT)</t>
  </si>
  <si>
    <t>Other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</si>
</sst>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7.5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  <font>
      <sz val="9"/>
      <color rgb="FFFEFFFF"/>
      <name val="Arial Narrow"/>
      <family val="2"/>
    </font>
    <font>
      <sz val="9"/>
      <color rgb="FFFEFFFF"/>
      <name val="Arial"/>
      <family val="2"/>
    </font>
    <font>
      <u/>
      <sz val="9"/>
      <color theme="1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10"/>
      <color rgb="FF02020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7F007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6F2F9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" fontId="2" fillId="0" borderId="0" xfId="0" applyNumberFormat="1" applyFont="1"/>
    <xf numFmtId="0" fontId="2" fillId="0" borderId="0" xfId="0" applyFont="1" applyAlignment="1">
      <alignment vertical="center" wrapText="1"/>
    </xf>
    <xf numFmtId="14" fontId="2" fillId="0" borderId="4" xfId="0" applyNumberFormat="1" applyFont="1" applyBorder="1"/>
    <xf numFmtId="1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0" xfId="0" applyFont="1"/>
    <xf numFmtId="0" fontId="7" fillId="0" borderId="10" xfId="0" applyFont="1" applyBorder="1" applyAlignment="1">
      <alignment vertical="center"/>
    </xf>
    <xf numFmtId="4" fontId="0" fillId="0" borderId="0" xfId="0" applyNumberFormat="1"/>
    <xf numFmtId="0" fontId="4" fillId="0" borderId="9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 applyAlignment="1">
      <alignment horizontal="left" vertical="center" wrapText="1" indent="3"/>
    </xf>
    <xf numFmtId="0" fontId="10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7" fontId="2" fillId="0" borderId="4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17" fontId="2" fillId="0" borderId="12" xfId="0" applyNumberFormat="1" applyFont="1" applyBorder="1"/>
    <xf numFmtId="17" fontId="2" fillId="0" borderId="13" xfId="0" applyNumberFormat="1" applyFont="1" applyBorder="1"/>
    <xf numFmtId="0" fontId="2" fillId="0" borderId="11" xfId="0" applyFont="1" applyBorder="1"/>
    <xf numFmtId="0" fontId="15" fillId="4" borderId="17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3"/>
    </xf>
    <xf numFmtId="0" fontId="2" fillId="0" borderId="12" xfId="0" applyFont="1" applyBorder="1"/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 vertical="center" wrapText="1" indent="3"/>
    </xf>
    <xf numFmtId="0" fontId="10" fillId="0" borderId="8" xfId="0" applyFont="1" applyBorder="1" applyAlignment="1">
      <alignment horizontal="left" vertical="center" wrapText="1" indent="2"/>
    </xf>
    <xf numFmtId="17" fontId="6" fillId="0" borderId="13" xfId="0" applyNumberFormat="1" applyFont="1" applyBorder="1"/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4" fontId="6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/>
    <xf numFmtId="4" fontId="2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 indent="2"/>
    </xf>
    <xf numFmtId="0" fontId="10" fillId="0" borderId="17" xfId="0" applyFont="1" applyBorder="1" applyAlignment="1">
      <alignment horizontal="left" vertical="center" wrapText="1" indent="1"/>
    </xf>
    <xf numFmtId="0" fontId="10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 indent="2"/>
    </xf>
    <xf numFmtId="4" fontId="2" fillId="0" borderId="5" xfId="0" applyNumberFormat="1" applyFont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7" fontId="2" fillId="0" borderId="13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 indent="3"/>
    </xf>
    <xf numFmtId="0" fontId="10" fillId="0" borderId="17" xfId="0" applyFont="1" applyBorder="1" applyAlignment="1">
      <alignment horizontal="left" vertical="center" wrapText="1" indent="2"/>
    </xf>
    <xf numFmtId="0" fontId="10" fillId="0" borderId="17" xfId="0" applyFont="1" applyBorder="1" applyAlignment="1">
      <alignment horizontal="left" vertical="center" indent="2"/>
    </xf>
    <xf numFmtId="0" fontId="10" fillId="0" borderId="15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3" fontId="7" fillId="0" borderId="10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3" fontId="2" fillId="0" borderId="5" xfId="0" applyNumberFormat="1" applyFont="1" applyBorder="1" applyAlignment="1">
      <alignment horizontal="center"/>
    </xf>
    <xf numFmtId="0" fontId="16" fillId="0" borderId="0" xfId="0" applyFont="1"/>
    <xf numFmtId="0" fontId="16" fillId="0" borderId="11" xfId="0" applyFont="1" applyBorder="1"/>
    <xf numFmtId="0" fontId="16" fillId="0" borderId="17" xfId="0" applyFont="1" applyBorder="1" applyAlignment="1">
      <alignment horizontal="left" vertical="center"/>
    </xf>
    <xf numFmtId="0" fontId="16" fillId="0" borderId="17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17" fontId="16" fillId="0" borderId="13" xfId="0" applyNumberFormat="1" applyFont="1" applyBorder="1"/>
    <xf numFmtId="0" fontId="2" fillId="0" borderId="17" xfId="0" applyFont="1" applyBorder="1"/>
    <xf numFmtId="0" fontId="10" fillId="0" borderId="15" xfId="0" applyFont="1" applyBorder="1" applyAlignment="1">
      <alignment vertical="center" wrapText="1"/>
    </xf>
    <xf numFmtId="165" fontId="2" fillId="0" borderId="0" xfId="1" applyNumberFormat="1" applyFont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" fontId="10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0" fillId="0" borderId="0" xfId="1" applyFont="1" applyAlignment="1">
      <alignment horizontal="center"/>
    </xf>
    <xf numFmtId="14" fontId="2" fillId="0" borderId="0" xfId="0" applyNumberFormat="1" applyFont="1"/>
    <xf numFmtId="0" fontId="0" fillId="0" borderId="5" xfId="0" applyBorder="1"/>
    <xf numFmtId="4" fontId="0" fillId="0" borderId="5" xfId="0" applyNumberFormat="1" applyBorder="1"/>
    <xf numFmtId="3" fontId="8" fillId="0" borderId="9" xfId="0" applyNumberFormat="1" applyFont="1" applyBorder="1" applyAlignment="1">
      <alignment horizontal="right" vertical="center"/>
    </xf>
    <xf numFmtId="3" fontId="8" fillId="0" borderId="10" xfId="0" applyNumberFormat="1" applyFont="1" applyBorder="1" applyAlignment="1">
      <alignment horizontal="right" vertical="center"/>
    </xf>
    <xf numFmtId="0" fontId="2" fillId="0" borderId="5" xfId="0" applyFont="1" applyBorder="1"/>
    <xf numFmtId="0" fontId="6" fillId="0" borderId="5" xfId="0" applyFont="1" applyBorder="1" applyAlignment="1">
      <alignment horizontal="center"/>
    </xf>
    <xf numFmtId="0" fontId="10" fillId="0" borderId="14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indent="3"/>
    </xf>
    <xf numFmtId="0" fontId="5" fillId="0" borderId="17" xfId="0" applyFont="1" applyBorder="1" applyAlignment="1">
      <alignment horizontal="left" vertical="center" wrapText="1" indent="4"/>
    </xf>
    <xf numFmtId="0" fontId="5" fillId="0" borderId="17" xfId="0" applyFont="1" applyBorder="1" applyAlignment="1">
      <alignment horizontal="left" vertical="center" wrapText="1" indent="3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/>
    <xf numFmtId="0" fontId="2" fillId="0" borderId="17" xfId="0" applyFont="1" applyBorder="1" applyAlignment="1">
      <alignment vertical="center"/>
    </xf>
    <xf numFmtId="0" fontId="2" fillId="0" borderId="15" xfId="0" applyFont="1" applyBorder="1"/>
    <xf numFmtId="0" fontId="10" fillId="0" borderId="11" xfId="0" applyFont="1" applyBorder="1" applyAlignment="1">
      <alignment horizontal="center" vertical="center" wrapText="1"/>
    </xf>
    <xf numFmtId="165" fontId="16" fillId="0" borderId="0" xfId="1" applyNumberFormat="1" applyFont="1" applyAlignment="1">
      <alignment horizontal="center" vertical="center"/>
    </xf>
    <xf numFmtId="165" fontId="16" fillId="0" borderId="3" xfId="1" applyNumberFormat="1" applyFont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6" fillId="0" borderId="0" xfId="1" applyNumberFormat="1" applyFont="1" applyAlignment="1">
      <alignment horizontal="center" vertical="center" wrapText="1"/>
    </xf>
    <xf numFmtId="165" fontId="16" fillId="0" borderId="5" xfId="1" applyNumberFormat="1" applyFont="1" applyBorder="1" applyAlignment="1">
      <alignment horizontal="center" vertical="center" wrapText="1"/>
    </xf>
    <xf numFmtId="165" fontId="16" fillId="0" borderId="0" xfId="1" applyNumberFormat="1" applyFont="1" applyAlignment="1">
      <alignment horizontal="center"/>
    </xf>
    <xf numFmtId="165" fontId="16" fillId="0" borderId="5" xfId="1" applyNumberFormat="1" applyFont="1" applyBorder="1" applyAlignment="1">
      <alignment horizontal="center"/>
    </xf>
    <xf numFmtId="165" fontId="16" fillId="0" borderId="0" xfId="1" applyNumberFormat="1" applyFont="1"/>
    <xf numFmtId="166" fontId="2" fillId="0" borderId="4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 indent="3"/>
    </xf>
    <xf numFmtId="0" fontId="13" fillId="3" borderId="8" xfId="0" applyFont="1" applyFill="1" applyBorder="1" applyAlignment="1">
      <alignment horizontal="left" vertical="center" wrapText="1" indent="3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indent="7"/>
    </xf>
    <xf numFmtId="0" fontId="10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2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'Forex Reserves'!$I$4</c:f>
              <c:strCache>
                <c:ptCount val="1"/>
                <c:pt idx="0">
                  <c:v>NET FOREIGN EXCHANGE RESERVES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'Forex Reserves'!$B$5:$B$221</c:f>
              <c:numCache>
                <c:formatCode>mmm\-yy</c:formatCode>
                <c:ptCount val="217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  <c:pt idx="123">
                  <c:v>42705</c:v>
                </c:pt>
                <c:pt idx="124">
                  <c:v>42736</c:v>
                </c:pt>
                <c:pt idx="125">
                  <c:v>42767</c:v>
                </c:pt>
                <c:pt idx="126">
                  <c:v>42795</c:v>
                </c:pt>
                <c:pt idx="127">
                  <c:v>42826</c:v>
                </c:pt>
                <c:pt idx="128">
                  <c:v>42856</c:v>
                </c:pt>
                <c:pt idx="129">
                  <c:v>42887</c:v>
                </c:pt>
                <c:pt idx="130">
                  <c:v>42917</c:v>
                </c:pt>
                <c:pt idx="131">
                  <c:v>42948</c:v>
                </c:pt>
                <c:pt idx="132">
                  <c:v>42979</c:v>
                </c:pt>
                <c:pt idx="133">
                  <c:v>43009</c:v>
                </c:pt>
                <c:pt idx="134">
                  <c:v>43040</c:v>
                </c:pt>
                <c:pt idx="135">
                  <c:v>43070</c:v>
                </c:pt>
                <c:pt idx="136">
                  <c:v>43101</c:v>
                </c:pt>
                <c:pt idx="137">
                  <c:v>43132</c:v>
                </c:pt>
                <c:pt idx="138">
                  <c:v>43160</c:v>
                </c:pt>
                <c:pt idx="139">
                  <c:v>43191</c:v>
                </c:pt>
                <c:pt idx="140">
                  <c:v>43221</c:v>
                </c:pt>
                <c:pt idx="141">
                  <c:v>43252</c:v>
                </c:pt>
                <c:pt idx="142">
                  <c:v>43282</c:v>
                </c:pt>
                <c:pt idx="143">
                  <c:v>43313</c:v>
                </c:pt>
                <c:pt idx="144">
                  <c:v>43344</c:v>
                </c:pt>
                <c:pt idx="145">
                  <c:v>43374</c:v>
                </c:pt>
                <c:pt idx="146">
                  <c:v>43405</c:v>
                </c:pt>
                <c:pt idx="147">
                  <c:v>43435</c:v>
                </c:pt>
                <c:pt idx="148">
                  <c:v>43466</c:v>
                </c:pt>
                <c:pt idx="149">
                  <c:v>43497</c:v>
                </c:pt>
                <c:pt idx="150">
                  <c:v>43525</c:v>
                </c:pt>
                <c:pt idx="151">
                  <c:v>43556</c:v>
                </c:pt>
                <c:pt idx="152">
                  <c:v>43586</c:v>
                </c:pt>
                <c:pt idx="153">
                  <c:v>43617</c:v>
                </c:pt>
                <c:pt idx="154">
                  <c:v>43647</c:v>
                </c:pt>
                <c:pt idx="155">
                  <c:v>43678</c:v>
                </c:pt>
                <c:pt idx="156">
                  <c:v>43709</c:v>
                </c:pt>
                <c:pt idx="157">
                  <c:v>43739</c:v>
                </c:pt>
                <c:pt idx="158">
                  <c:v>43770</c:v>
                </c:pt>
                <c:pt idx="159">
                  <c:v>43800</c:v>
                </c:pt>
                <c:pt idx="160">
                  <c:v>43831</c:v>
                </c:pt>
                <c:pt idx="161">
                  <c:v>43862</c:v>
                </c:pt>
                <c:pt idx="162">
                  <c:v>43891</c:v>
                </c:pt>
                <c:pt idx="163">
                  <c:v>43922</c:v>
                </c:pt>
                <c:pt idx="164">
                  <c:v>43952</c:v>
                </c:pt>
                <c:pt idx="165">
                  <c:v>43983</c:v>
                </c:pt>
                <c:pt idx="166">
                  <c:v>44013</c:v>
                </c:pt>
                <c:pt idx="167">
                  <c:v>44044</c:v>
                </c:pt>
                <c:pt idx="168">
                  <c:v>44075</c:v>
                </c:pt>
                <c:pt idx="169">
                  <c:v>44105</c:v>
                </c:pt>
                <c:pt idx="170">
                  <c:v>44136</c:v>
                </c:pt>
                <c:pt idx="171">
                  <c:v>44166</c:v>
                </c:pt>
                <c:pt idx="172">
                  <c:v>44197</c:v>
                </c:pt>
                <c:pt idx="173">
                  <c:v>44228</c:v>
                </c:pt>
                <c:pt idx="174">
                  <c:v>44256</c:v>
                </c:pt>
                <c:pt idx="175">
                  <c:v>44287</c:v>
                </c:pt>
                <c:pt idx="176">
                  <c:v>44317</c:v>
                </c:pt>
                <c:pt idx="177">
                  <c:v>44348</c:v>
                </c:pt>
                <c:pt idx="178">
                  <c:v>44378</c:v>
                </c:pt>
                <c:pt idx="179">
                  <c:v>44409</c:v>
                </c:pt>
                <c:pt idx="180">
                  <c:v>44440</c:v>
                </c:pt>
                <c:pt idx="181">
                  <c:v>44470</c:v>
                </c:pt>
                <c:pt idx="182">
                  <c:v>44501</c:v>
                </c:pt>
                <c:pt idx="183">
                  <c:v>44531</c:v>
                </c:pt>
                <c:pt idx="184">
                  <c:v>44562</c:v>
                </c:pt>
                <c:pt idx="185">
                  <c:v>44593</c:v>
                </c:pt>
                <c:pt idx="186">
                  <c:v>44621</c:v>
                </c:pt>
                <c:pt idx="187">
                  <c:v>44652</c:v>
                </c:pt>
                <c:pt idx="188">
                  <c:v>44682</c:v>
                </c:pt>
                <c:pt idx="189">
                  <c:v>44713</c:v>
                </c:pt>
                <c:pt idx="190">
                  <c:v>44743</c:v>
                </c:pt>
                <c:pt idx="191">
                  <c:v>44774</c:v>
                </c:pt>
                <c:pt idx="192">
                  <c:v>44805</c:v>
                </c:pt>
                <c:pt idx="193">
                  <c:v>44835</c:v>
                </c:pt>
                <c:pt idx="194">
                  <c:v>44866</c:v>
                </c:pt>
                <c:pt idx="195">
                  <c:v>44896</c:v>
                </c:pt>
                <c:pt idx="196">
                  <c:v>44927</c:v>
                </c:pt>
                <c:pt idx="197">
                  <c:v>44958</c:v>
                </c:pt>
                <c:pt idx="198">
                  <c:v>44986</c:v>
                </c:pt>
                <c:pt idx="199">
                  <c:v>45017</c:v>
                </c:pt>
                <c:pt idx="200">
                  <c:v>45047</c:v>
                </c:pt>
                <c:pt idx="201">
                  <c:v>45078</c:v>
                </c:pt>
                <c:pt idx="202">
                  <c:v>45108</c:v>
                </c:pt>
                <c:pt idx="203">
                  <c:v>45139</c:v>
                </c:pt>
                <c:pt idx="204">
                  <c:v>45170</c:v>
                </c:pt>
                <c:pt idx="205">
                  <c:v>45200</c:v>
                </c:pt>
                <c:pt idx="206">
                  <c:v>45231</c:v>
                </c:pt>
                <c:pt idx="207">
                  <c:v>45261</c:v>
                </c:pt>
                <c:pt idx="208">
                  <c:v>45292</c:v>
                </c:pt>
                <c:pt idx="209">
                  <c:v>45323</c:v>
                </c:pt>
                <c:pt idx="210">
                  <c:v>45352</c:v>
                </c:pt>
                <c:pt idx="211">
                  <c:v>45383</c:v>
                </c:pt>
                <c:pt idx="212">
                  <c:v>45413</c:v>
                </c:pt>
                <c:pt idx="213">
                  <c:v>45444</c:v>
                </c:pt>
                <c:pt idx="214">
                  <c:v>45474</c:v>
                </c:pt>
                <c:pt idx="215">
                  <c:v>45505</c:v>
                </c:pt>
                <c:pt idx="216">
                  <c:v>45536</c:v>
                </c:pt>
              </c:numCache>
            </c:numRef>
          </c:cat>
          <c:val>
            <c:numRef>
              <c:f>'Forex Reserves'!$I$5:$I$221</c:f>
              <c:numCache>
                <c:formatCode>#,##0</c:formatCode>
                <c:ptCount val="217"/>
                <c:pt idx="0">
                  <c:v>203020</c:v>
                </c:pt>
                <c:pt idx="1">
                  <c:v>209328</c:v>
                </c:pt>
                <c:pt idx="2">
                  <c:v>202370</c:v>
                </c:pt>
                <c:pt idx="3">
                  <c:v>208964</c:v>
                </c:pt>
                <c:pt idx="4">
                  <c:v>209991</c:v>
                </c:pt>
                <c:pt idx="5">
                  <c:v>216184</c:v>
                </c:pt>
                <c:pt idx="6">
                  <c:v>221151</c:v>
                </c:pt>
                <c:pt idx="7">
                  <c:v>227432</c:v>
                </c:pt>
                <c:pt idx="8">
                  <c:v>220686</c:v>
                </c:pt>
                <c:pt idx="9">
                  <c:v>223495</c:v>
                </c:pt>
                <c:pt idx="10">
                  <c:v>238050</c:v>
                </c:pt>
                <c:pt idx="11">
                  <c:v>231745</c:v>
                </c:pt>
                <c:pt idx="12">
                  <c:v>225993</c:v>
                </c:pt>
                <c:pt idx="13">
                  <c:v>227139</c:v>
                </c:pt>
                <c:pt idx="14">
                  <c:v>219822</c:v>
                </c:pt>
                <c:pt idx="15">
                  <c:v>255775</c:v>
                </c:pt>
                <c:pt idx="16">
                  <c:v>278808</c:v>
                </c:pt>
                <c:pt idx="17">
                  <c:v>267261</c:v>
                </c:pt>
                <c:pt idx="18">
                  <c:v>251014</c:v>
                </c:pt>
                <c:pt idx="19">
                  <c:v>263236</c:v>
                </c:pt>
                <c:pt idx="20">
                  <c:v>280192</c:v>
                </c:pt>
                <c:pt idx="21">
                  <c:v>292664</c:v>
                </c:pt>
                <c:pt idx="22">
                  <c:v>291398</c:v>
                </c:pt>
                <c:pt idx="23">
                  <c:v>271084</c:v>
                </c:pt>
                <c:pt idx="24">
                  <c:v>264904</c:v>
                </c:pt>
                <c:pt idx="25">
                  <c:v>273651</c:v>
                </c:pt>
                <c:pt idx="26">
                  <c:v>260076</c:v>
                </c:pt>
                <c:pt idx="27">
                  <c:v>260593</c:v>
                </c:pt>
                <c:pt idx="28">
                  <c:v>261973</c:v>
                </c:pt>
                <c:pt idx="29">
                  <c:v>259398</c:v>
                </c:pt>
                <c:pt idx="30">
                  <c:v>267802</c:v>
                </c:pt>
                <c:pt idx="31">
                  <c:v>279198</c:v>
                </c:pt>
                <c:pt idx="32">
                  <c:v>261865</c:v>
                </c:pt>
                <c:pt idx="33">
                  <c:v>279709</c:v>
                </c:pt>
                <c:pt idx="34">
                  <c:v>287432</c:v>
                </c:pt>
                <c:pt idx="35">
                  <c:v>272644</c:v>
                </c:pt>
                <c:pt idx="36">
                  <c:v>256841</c:v>
                </c:pt>
                <c:pt idx="37">
                  <c:v>255443</c:v>
                </c:pt>
                <c:pt idx="38">
                  <c:v>257355</c:v>
                </c:pt>
                <c:pt idx="39">
                  <c:v>245306</c:v>
                </c:pt>
                <c:pt idx="40">
                  <c:v>267110</c:v>
                </c:pt>
                <c:pt idx="41">
                  <c:v>265136</c:v>
                </c:pt>
                <c:pt idx="42">
                  <c:v>269734</c:v>
                </c:pt>
                <c:pt idx="43">
                  <c:v>276249</c:v>
                </c:pt>
                <c:pt idx="44">
                  <c:v>262920</c:v>
                </c:pt>
                <c:pt idx="45">
                  <c:v>281797</c:v>
                </c:pt>
                <c:pt idx="46">
                  <c:v>277438</c:v>
                </c:pt>
                <c:pt idx="47">
                  <c:v>287050</c:v>
                </c:pt>
                <c:pt idx="48">
                  <c:v>274268</c:v>
                </c:pt>
                <c:pt idx="49">
                  <c:v>276005</c:v>
                </c:pt>
                <c:pt idx="50">
                  <c:v>279383</c:v>
                </c:pt>
                <c:pt idx="51">
                  <c:v>273444</c:v>
                </c:pt>
                <c:pt idx="52">
                  <c:v>276623</c:v>
                </c:pt>
                <c:pt idx="53">
                  <c:v>284249</c:v>
                </c:pt>
                <c:pt idx="54">
                  <c:v>287694</c:v>
                </c:pt>
                <c:pt idx="55">
                  <c:v>294137</c:v>
                </c:pt>
                <c:pt idx="56">
                  <c:v>268807</c:v>
                </c:pt>
                <c:pt idx="57">
                  <c:v>283281</c:v>
                </c:pt>
                <c:pt idx="58">
                  <c:v>294514</c:v>
                </c:pt>
                <c:pt idx="59">
                  <c:v>321296</c:v>
                </c:pt>
                <c:pt idx="60">
                  <c:v>312092</c:v>
                </c:pt>
                <c:pt idx="61">
                  <c:v>336066</c:v>
                </c:pt>
                <c:pt idx="62">
                  <c:v>290889</c:v>
                </c:pt>
                <c:pt idx="63">
                  <c:v>297294</c:v>
                </c:pt>
                <c:pt idx="64">
                  <c:v>300022</c:v>
                </c:pt>
                <c:pt idx="65">
                  <c:v>286685</c:v>
                </c:pt>
                <c:pt idx="66">
                  <c:v>277886</c:v>
                </c:pt>
                <c:pt idx="67">
                  <c:v>293099</c:v>
                </c:pt>
                <c:pt idx="68">
                  <c:v>294871</c:v>
                </c:pt>
                <c:pt idx="69">
                  <c:v>323476</c:v>
                </c:pt>
                <c:pt idx="70">
                  <c:v>313037</c:v>
                </c:pt>
                <c:pt idx="71">
                  <c:v>330367</c:v>
                </c:pt>
                <c:pt idx="72">
                  <c:v>353751</c:v>
                </c:pt>
                <c:pt idx="73">
                  <c:v>361159</c:v>
                </c:pt>
                <c:pt idx="74">
                  <c:v>372279</c:v>
                </c:pt>
                <c:pt idx="75">
                  <c:v>327818</c:v>
                </c:pt>
                <c:pt idx="76">
                  <c:v>349592</c:v>
                </c:pt>
                <c:pt idx="77">
                  <c:v>330028</c:v>
                </c:pt>
                <c:pt idx="78">
                  <c:v>321314</c:v>
                </c:pt>
                <c:pt idx="79">
                  <c:v>354299</c:v>
                </c:pt>
                <c:pt idx="80">
                  <c:v>375949</c:v>
                </c:pt>
                <c:pt idx="81">
                  <c:v>362968</c:v>
                </c:pt>
                <c:pt idx="82">
                  <c:v>385063</c:v>
                </c:pt>
                <c:pt idx="83">
                  <c:v>378060</c:v>
                </c:pt>
                <c:pt idx="84">
                  <c:v>374538</c:v>
                </c:pt>
                <c:pt idx="85">
                  <c:v>366405</c:v>
                </c:pt>
                <c:pt idx="86">
                  <c:v>364833</c:v>
                </c:pt>
                <c:pt idx="87">
                  <c:v>389034</c:v>
                </c:pt>
                <c:pt idx="88">
                  <c:v>391514</c:v>
                </c:pt>
                <c:pt idx="89">
                  <c:v>372898</c:v>
                </c:pt>
                <c:pt idx="90">
                  <c:v>372445</c:v>
                </c:pt>
                <c:pt idx="91">
                  <c:v>393529</c:v>
                </c:pt>
                <c:pt idx="92">
                  <c:v>365323</c:v>
                </c:pt>
                <c:pt idx="93">
                  <c:v>531346</c:v>
                </c:pt>
                <c:pt idx="94">
                  <c:v>490984</c:v>
                </c:pt>
                <c:pt idx="95">
                  <c:v>483215</c:v>
                </c:pt>
                <c:pt idx="96">
                  <c:v>448401</c:v>
                </c:pt>
                <c:pt idx="97">
                  <c:v>420129</c:v>
                </c:pt>
                <c:pt idx="98">
                  <c:v>420895</c:v>
                </c:pt>
                <c:pt idx="99">
                  <c:v>481526</c:v>
                </c:pt>
                <c:pt idx="100">
                  <c:v>474003</c:v>
                </c:pt>
                <c:pt idx="101">
                  <c:v>488495</c:v>
                </c:pt>
                <c:pt idx="102">
                  <c:v>463869</c:v>
                </c:pt>
                <c:pt idx="103">
                  <c:v>468102</c:v>
                </c:pt>
                <c:pt idx="104">
                  <c:v>449408</c:v>
                </c:pt>
                <c:pt idx="105">
                  <c:v>437385</c:v>
                </c:pt>
                <c:pt idx="106">
                  <c:v>414764</c:v>
                </c:pt>
                <c:pt idx="107">
                  <c:v>406596</c:v>
                </c:pt>
                <c:pt idx="108">
                  <c:v>391393</c:v>
                </c:pt>
                <c:pt idx="109">
                  <c:v>438588</c:v>
                </c:pt>
                <c:pt idx="110">
                  <c:v>447987</c:v>
                </c:pt>
                <c:pt idx="111">
                  <c:v>493531</c:v>
                </c:pt>
                <c:pt idx="112">
                  <c:v>475728</c:v>
                </c:pt>
                <c:pt idx="113">
                  <c:v>459514</c:v>
                </c:pt>
                <c:pt idx="114">
                  <c:v>473919</c:v>
                </c:pt>
                <c:pt idx="115">
                  <c:v>520094</c:v>
                </c:pt>
                <c:pt idx="116">
                  <c:v>511573</c:v>
                </c:pt>
                <c:pt idx="117">
                  <c:v>564983</c:v>
                </c:pt>
                <c:pt idx="118">
                  <c:v>556330</c:v>
                </c:pt>
                <c:pt idx="119">
                  <c:v>577824</c:v>
                </c:pt>
                <c:pt idx="120">
                  <c:v>594122</c:v>
                </c:pt>
                <c:pt idx="121">
                  <c:v>576317</c:v>
                </c:pt>
                <c:pt idx="122">
                  <c:v>564286</c:v>
                </c:pt>
                <c:pt idx="123">
                  <c:v>497446</c:v>
                </c:pt>
                <c:pt idx="124">
                  <c:v>519719</c:v>
                </c:pt>
                <c:pt idx="125">
                  <c:v>534889</c:v>
                </c:pt>
                <c:pt idx="126">
                  <c:v>604954</c:v>
                </c:pt>
                <c:pt idx="127">
                  <c:v>678951</c:v>
                </c:pt>
                <c:pt idx="128">
                  <c:v>658591</c:v>
                </c:pt>
                <c:pt idx="129">
                  <c:v>651969</c:v>
                </c:pt>
                <c:pt idx="130">
                  <c:v>618008</c:v>
                </c:pt>
                <c:pt idx="131">
                  <c:v>609019</c:v>
                </c:pt>
                <c:pt idx="132">
                  <c:v>617641</c:v>
                </c:pt>
                <c:pt idx="133">
                  <c:v>570283</c:v>
                </c:pt>
                <c:pt idx="134">
                  <c:v>555190</c:v>
                </c:pt>
                <c:pt idx="135">
                  <c:v>537145</c:v>
                </c:pt>
                <c:pt idx="136">
                  <c:v>527201</c:v>
                </c:pt>
                <c:pt idx="137">
                  <c:v>517758</c:v>
                </c:pt>
                <c:pt idx="138">
                  <c:v>701293</c:v>
                </c:pt>
                <c:pt idx="139">
                  <c:v>725221</c:v>
                </c:pt>
                <c:pt idx="140">
                  <c:v>726442</c:v>
                </c:pt>
                <c:pt idx="141">
                  <c:v>760510</c:v>
                </c:pt>
                <c:pt idx="142">
                  <c:v>759525</c:v>
                </c:pt>
                <c:pt idx="143">
                  <c:v>735056</c:v>
                </c:pt>
                <c:pt idx="144">
                  <c:v>745193</c:v>
                </c:pt>
                <c:pt idx="145">
                  <c:v>687480</c:v>
                </c:pt>
                <c:pt idx="146">
                  <c:v>693798</c:v>
                </c:pt>
                <c:pt idx="147">
                  <c:v>716108</c:v>
                </c:pt>
                <c:pt idx="148">
                  <c:v>708650</c:v>
                </c:pt>
                <c:pt idx="149">
                  <c:v>713045</c:v>
                </c:pt>
                <c:pt idx="150">
                  <c:v>721965</c:v>
                </c:pt>
                <c:pt idx="151">
                  <c:v>746093</c:v>
                </c:pt>
                <c:pt idx="152">
                  <c:v>936362</c:v>
                </c:pt>
                <c:pt idx="153">
                  <c:v>941897</c:v>
                </c:pt>
                <c:pt idx="154">
                  <c:v>902678</c:v>
                </c:pt>
                <c:pt idx="155">
                  <c:v>870469</c:v>
                </c:pt>
                <c:pt idx="156">
                  <c:v>837448</c:v>
                </c:pt>
                <c:pt idx="157">
                  <c:v>858462</c:v>
                </c:pt>
                <c:pt idx="158">
                  <c:v>797584</c:v>
                </c:pt>
                <c:pt idx="159">
                  <c:v>806437</c:v>
                </c:pt>
                <c:pt idx="160">
                  <c:v>776129</c:v>
                </c:pt>
                <c:pt idx="161">
                  <c:v>786418</c:v>
                </c:pt>
                <c:pt idx="162">
                  <c:v>769721</c:v>
                </c:pt>
                <c:pt idx="163">
                  <c:v>764631</c:v>
                </c:pt>
                <c:pt idx="164">
                  <c:v>855183</c:v>
                </c:pt>
                <c:pt idx="165">
                  <c:v>887434</c:v>
                </c:pt>
                <c:pt idx="166">
                  <c:v>839494</c:v>
                </c:pt>
                <c:pt idx="167">
                  <c:v>804926</c:v>
                </c:pt>
                <c:pt idx="168">
                  <c:v>751260</c:v>
                </c:pt>
                <c:pt idx="169">
                  <c:v>750198</c:v>
                </c:pt>
                <c:pt idx="170">
                  <c:v>732809</c:v>
                </c:pt>
                <c:pt idx="171">
                  <c:v>748602</c:v>
                </c:pt>
                <c:pt idx="172">
                  <c:v>753438</c:v>
                </c:pt>
                <c:pt idx="173">
                  <c:v>718473</c:v>
                </c:pt>
                <c:pt idx="174">
                  <c:v>693232</c:v>
                </c:pt>
                <c:pt idx="175">
                  <c:v>648885</c:v>
                </c:pt>
                <c:pt idx="176">
                  <c:v>615406</c:v>
                </c:pt>
                <c:pt idx="177">
                  <c:v>785986</c:v>
                </c:pt>
                <c:pt idx="178">
                  <c:v>753443</c:v>
                </c:pt>
                <c:pt idx="179">
                  <c:v>708318</c:v>
                </c:pt>
                <c:pt idx="180">
                  <c:v>664073</c:v>
                </c:pt>
                <c:pt idx="181">
                  <c:v>633206</c:v>
                </c:pt>
                <c:pt idx="182">
                  <c:v>583588</c:v>
                </c:pt>
                <c:pt idx="183">
                  <c:v>592331</c:v>
                </c:pt>
                <c:pt idx="184">
                  <c:v>488037</c:v>
                </c:pt>
                <c:pt idx="185">
                  <c:v>473611</c:v>
                </c:pt>
                <c:pt idx="186">
                  <c:v>430356</c:v>
                </c:pt>
                <c:pt idx="187">
                  <c:v>512120</c:v>
                </c:pt>
                <c:pt idx="188">
                  <c:v>471968</c:v>
                </c:pt>
                <c:pt idx="189">
                  <c:v>459053</c:v>
                </c:pt>
                <c:pt idx="190">
                  <c:v>402188</c:v>
                </c:pt>
                <c:pt idx="191">
                  <c:v>337899</c:v>
                </c:pt>
                <c:pt idx="192">
                  <c:v>296749</c:v>
                </c:pt>
                <c:pt idx="193">
                  <c:v>311001</c:v>
                </c:pt>
                <c:pt idx="194">
                  <c:v>278293</c:v>
                </c:pt>
                <c:pt idx="195">
                  <c:v>285350</c:v>
                </c:pt>
                <c:pt idx="196">
                  <c:v>247454</c:v>
                </c:pt>
                <c:pt idx="197">
                  <c:v>235002</c:v>
                </c:pt>
                <c:pt idx="198">
                  <c:v>311230</c:v>
                </c:pt>
                <c:pt idx="199">
                  <c:v>326890</c:v>
                </c:pt>
                <c:pt idx="200">
                  <c:v>354713</c:v>
                </c:pt>
                <c:pt idx="201">
                  <c:v>594125</c:v>
                </c:pt>
                <c:pt idx="202">
                  <c:v>628959</c:v>
                </c:pt>
                <c:pt idx="203">
                  <c:v>675250</c:v>
                </c:pt>
                <c:pt idx="204">
                  <c:v>711269</c:v>
                </c:pt>
                <c:pt idx="205">
                  <c:v>746556</c:v>
                </c:pt>
                <c:pt idx="206">
                  <c:v>774657</c:v>
                </c:pt>
                <c:pt idx="207">
                  <c:v>796474</c:v>
                </c:pt>
                <c:pt idx="208">
                  <c:v>857822</c:v>
                </c:pt>
                <c:pt idx="209">
                  <c:v>886139</c:v>
                </c:pt>
                <c:pt idx="210">
                  <c:v>751958</c:v>
                </c:pt>
                <c:pt idx="211">
                  <c:v>824171</c:v>
                </c:pt>
                <c:pt idx="212">
                  <c:v>782330</c:v>
                </c:pt>
                <c:pt idx="213">
                  <c:v>908300</c:v>
                </c:pt>
                <c:pt idx="214">
                  <c:v>924716</c:v>
                </c:pt>
                <c:pt idx="215">
                  <c:v>884167</c:v>
                </c:pt>
                <c:pt idx="216">
                  <c:v>895764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A-49F4-9C31-8C010F51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75216"/>
        <c:axId val="552858896"/>
      </c:lineChart>
      <c:dateAx>
        <c:axId val="552875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58896"/>
        <c:crosses val="autoZero"/>
        <c:auto val="1"/>
        <c:lblOffset val="100"/>
        <c:baseTimeUnit val="months"/>
      </c:dateAx>
      <c:valAx>
        <c:axId val="5528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Coffee!$B$4:$B$228</c:f>
              <c:numCache>
                <c:formatCode>mmm\-yy</c:formatCode>
                <c:ptCount val="225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  <c:pt idx="96">
                  <c:v>41640</c:v>
                </c:pt>
                <c:pt idx="97">
                  <c:v>41671</c:v>
                </c:pt>
                <c:pt idx="98">
                  <c:v>41699</c:v>
                </c:pt>
                <c:pt idx="99">
                  <c:v>41730</c:v>
                </c:pt>
                <c:pt idx="100">
                  <c:v>41760</c:v>
                </c:pt>
                <c:pt idx="101">
                  <c:v>41791</c:v>
                </c:pt>
                <c:pt idx="102">
                  <c:v>41821</c:v>
                </c:pt>
                <c:pt idx="103">
                  <c:v>41852</c:v>
                </c:pt>
                <c:pt idx="104">
                  <c:v>41883</c:v>
                </c:pt>
                <c:pt idx="105">
                  <c:v>41913</c:v>
                </c:pt>
                <c:pt idx="106">
                  <c:v>41944</c:v>
                </c:pt>
                <c:pt idx="107">
                  <c:v>41974</c:v>
                </c:pt>
                <c:pt idx="108">
                  <c:v>42005</c:v>
                </c:pt>
                <c:pt idx="109">
                  <c:v>42036</c:v>
                </c:pt>
                <c:pt idx="110">
                  <c:v>42064</c:v>
                </c:pt>
                <c:pt idx="111">
                  <c:v>42095</c:v>
                </c:pt>
                <c:pt idx="112">
                  <c:v>42125</c:v>
                </c:pt>
                <c:pt idx="113">
                  <c:v>42156</c:v>
                </c:pt>
                <c:pt idx="114">
                  <c:v>42186</c:v>
                </c:pt>
                <c:pt idx="115">
                  <c:v>42217</c:v>
                </c:pt>
                <c:pt idx="116">
                  <c:v>42248</c:v>
                </c:pt>
                <c:pt idx="117">
                  <c:v>42278</c:v>
                </c:pt>
                <c:pt idx="118">
                  <c:v>42309</c:v>
                </c:pt>
                <c:pt idx="119">
                  <c:v>42339</c:v>
                </c:pt>
                <c:pt idx="120">
                  <c:v>42370</c:v>
                </c:pt>
                <c:pt idx="121">
                  <c:v>42401</c:v>
                </c:pt>
                <c:pt idx="122">
                  <c:v>42430</c:v>
                </c:pt>
                <c:pt idx="123">
                  <c:v>42461</c:v>
                </c:pt>
                <c:pt idx="124">
                  <c:v>42491</c:v>
                </c:pt>
                <c:pt idx="125">
                  <c:v>42522</c:v>
                </c:pt>
                <c:pt idx="126">
                  <c:v>42552</c:v>
                </c:pt>
                <c:pt idx="127">
                  <c:v>42583</c:v>
                </c:pt>
                <c:pt idx="128">
                  <c:v>42614</c:v>
                </c:pt>
                <c:pt idx="129">
                  <c:v>42644</c:v>
                </c:pt>
                <c:pt idx="130">
                  <c:v>42675</c:v>
                </c:pt>
                <c:pt idx="131">
                  <c:v>42705</c:v>
                </c:pt>
                <c:pt idx="132">
                  <c:v>42736</c:v>
                </c:pt>
                <c:pt idx="133">
                  <c:v>42767</c:v>
                </c:pt>
                <c:pt idx="134">
                  <c:v>42795</c:v>
                </c:pt>
                <c:pt idx="135">
                  <c:v>42826</c:v>
                </c:pt>
                <c:pt idx="136">
                  <c:v>42856</c:v>
                </c:pt>
                <c:pt idx="137">
                  <c:v>42887</c:v>
                </c:pt>
                <c:pt idx="138">
                  <c:v>42917</c:v>
                </c:pt>
                <c:pt idx="139">
                  <c:v>42948</c:v>
                </c:pt>
                <c:pt idx="140">
                  <c:v>42979</c:v>
                </c:pt>
                <c:pt idx="141">
                  <c:v>43009</c:v>
                </c:pt>
                <c:pt idx="142">
                  <c:v>43040</c:v>
                </c:pt>
                <c:pt idx="143">
                  <c:v>43070</c:v>
                </c:pt>
                <c:pt idx="144">
                  <c:v>43101</c:v>
                </c:pt>
                <c:pt idx="145">
                  <c:v>43132</c:v>
                </c:pt>
                <c:pt idx="146">
                  <c:v>43160</c:v>
                </c:pt>
                <c:pt idx="147">
                  <c:v>43191</c:v>
                </c:pt>
                <c:pt idx="148">
                  <c:v>43221</c:v>
                </c:pt>
                <c:pt idx="149">
                  <c:v>43252</c:v>
                </c:pt>
                <c:pt idx="150">
                  <c:v>43282</c:v>
                </c:pt>
                <c:pt idx="151">
                  <c:v>43313</c:v>
                </c:pt>
                <c:pt idx="152">
                  <c:v>43344</c:v>
                </c:pt>
                <c:pt idx="153">
                  <c:v>43374</c:v>
                </c:pt>
                <c:pt idx="154">
                  <c:v>43405</c:v>
                </c:pt>
                <c:pt idx="155">
                  <c:v>43435</c:v>
                </c:pt>
                <c:pt idx="156">
                  <c:v>43466</c:v>
                </c:pt>
                <c:pt idx="157">
                  <c:v>43497</c:v>
                </c:pt>
                <c:pt idx="158">
                  <c:v>43525</c:v>
                </c:pt>
                <c:pt idx="159">
                  <c:v>43556</c:v>
                </c:pt>
                <c:pt idx="160">
                  <c:v>43586</c:v>
                </c:pt>
                <c:pt idx="161">
                  <c:v>43617</c:v>
                </c:pt>
                <c:pt idx="162">
                  <c:v>43647</c:v>
                </c:pt>
                <c:pt idx="163">
                  <c:v>43678</c:v>
                </c:pt>
                <c:pt idx="164">
                  <c:v>43709</c:v>
                </c:pt>
                <c:pt idx="165">
                  <c:v>43739</c:v>
                </c:pt>
                <c:pt idx="166">
                  <c:v>43770</c:v>
                </c:pt>
                <c:pt idx="167">
                  <c:v>43800</c:v>
                </c:pt>
                <c:pt idx="168">
                  <c:v>43831</c:v>
                </c:pt>
                <c:pt idx="169">
                  <c:v>43862</c:v>
                </c:pt>
                <c:pt idx="170">
                  <c:v>43891</c:v>
                </c:pt>
                <c:pt idx="171">
                  <c:v>43922</c:v>
                </c:pt>
                <c:pt idx="172">
                  <c:v>43952</c:v>
                </c:pt>
                <c:pt idx="173">
                  <c:v>43983</c:v>
                </c:pt>
                <c:pt idx="174">
                  <c:v>44013</c:v>
                </c:pt>
                <c:pt idx="175">
                  <c:v>44044</c:v>
                </c:pt>
                <c:pt idx="176">
                  <c:v>44075</c:v>
                </c:pt>
                <c:pt idx="177">
                  <c:v>44105</c:v>
                </c:pt>
                <c:pt idx="178">
                  <c:v>44136</c:v>
                </c:pt>
                <c:pt idx="179">
                  <c:v>44166</c:v>
                </c:pt>
                <c:pt idx="180">
                  <c:v>44197</c:v>
                </c:pt>
                <c:pt idx="181">
                  <c:v>44228</c:v>
                </c:pt>
                <c:pt idx="182">
                  <c:v>44256</c:v>
                </c:pt>
                <c:pt idx="183">
                  <c:v>44287</c:v>
                </c:pt>
                <c:pt idx="184">
                  <c:v>44317</c:v>
                </c:pt>
                <c:pt idx="185">
                  <c:v>44348</c:v>
                </c:pt>
                <c:pt idx="186">
                  <c:v>44378</c:v>
                </c:pt>
                <c:pt idx="187">
                  <c:v>44409</c:v>
                </c:pt>
                <c:pt idx="188">
                  <c:v>44440</c:v>
                </c:pt>
                <c:pt idx="189">
                  <c:v>44470</c:v>
                </c:pt>
                <c:pt idx="190">
                  <c:v>44501</c:v>
                </c:pt>
                <c:pt idx="191">
                  <c:v>44531</c:v>
                </c:pt>
                <c:pt idx="192">
                  <c:v>44562</c:v>
                </c:pt>
                <c:pt idx="193">
                  <c:v>44593</c:v>
                </c:pt>
                <c:pt idx="194">
                  <c:v>44621</c:v>
                </c:pt>
                <c:pt idx="195">
                  <c:v>44652</c:v>
                </c:pt>
                <c:pt idx="196">
                  <c:v>44682</c:v>
                </c:pt>
                <c:pt idx="197">
                  <c:v>44713</c:v>
                </c:pt>
                <c:pt idx="198">
                  <c:v>44743</c:v>
                </c:pt>
                <c:pt idx="199">
                  <c:v>44774</c:v>
                </c:pt>
                <c:pt idx="200">
                  <c:v>44805</c:v>
                </c:pt>
                <c:pt idx="201">
                  <c:v>44835</c:v>
                </c:pt>
                <c:pt idx="202">
                  <c:v>44866</c:v>
                </c:pt>
                <c:pt idx="203">
                  <c:v>44896</c:v>
                </c:pt>
                <c:pt idx="204">
                  <c:v>44927</c:v>
                </c:pt>
                <c:pt idx="205">
                  <c:v>44958</c:v>
                </c:pt>
                <c:pt idx="206">
                  <c:v>44986</c:v>
                </c:pt>
                <c:pt idx="207">
                  <c:v>45017</c:v>
                </c:pt>
                <c:pt idx="208">
                  <c:v>45047</c:v>
                </c:pt>
                <c:pt idx="209">
                  <c:v>45078</c:v>
                </c:pt>
                <c:pt idx="210">
                  <c:v>45108</c:v>
                </c:pt>
                <c:pt idx="211">
                  <c:v>45139</c:v>
                </c:pt>
                <c:pt idx="212">
                  <c:v>45170</c:v>
                </c:pt>
                <c:pt idx="213">
                  <c:v>45200</c:v>
                </c:pt>
                <c:pt idx="214">
                  <c:v>45231</c:v>
                </c:pt>
                <c:pt idx="215">
                  <c:v>45261</c:v>
                </c:pt>
                <c:pt idx="216">
                  <c:v>45292</c:v>
                </c:pt>
                <c:pt idx="217">
                  <c:v>45323</c:v>
                </c:pt>
                <c:pt idx="218">
                  <c:v>45352</c:v>
                </c:pt>
                <c:pt idx="219">
                  <c:v>45383</c:v>
                </c:pt>
                <c:pt idx="220">
                  <c:v>45413</c:v>
                </c:pt>
                <c:pt idx="221">
                  <c:v>45444</c:v>
                </c:pt>
                <c:pt idx="222">
                  <c:v>45474</c:v>
                </c:pt>
                <c:pt idx="223">
                  <c:v>45505</c:v>
                </c:pt>
                <c:pt idx="224">
                  <c:v>45536</c:v>
                </c:pt>
              </c:numCache>
            </c:numRef>
          </c:cat>
          <c:val>
            <c:numRef>
              <c:f>Coffee!$F$4:$F$228</c:f>
              <c:numCache>
                <c:formatCode>General</c:formatCode>
                <c:ptCount val="225"/>
                <c:pt idx="0">
                  <c:v>214.24</c:v>
                </c:pt>
                <c:pt idx="1">
                  <c:v>208.59</c:v>
                </c:pt>
                <c:pt idx="2">
                  <c:v>227.53</c:v>
                </c:pt>
                <c:pt idx="3">
                  <c:v>213.66</c:v>
                </c:pt>
                <c:pt idx="4">
                  <c:v>191.04</c:v>
                </c:pt>
                <c:pt idx="5">
                  <c:v>132.82</c:v>
                </c:pt>
                <c:pt idx="6">
                  <c:v>146.66</c:v>
                </c:pt>
                <c:pt idx="7">
                  <c:v>187.58</c:v>
                </c:pt>
                <c:pt idx="8">
                  <c:v>190.12</c:v>
                </c:pt>
                <c:pt idx="9">
                  <c:v>177.53</c:v>
                </c:pt>
                <c:pt idx="10">
                  <c:v>203.34</c:v>
                </c:pt>
                <c:pt idx="11">
                  <c:v>198.22</c:v>
                </c:pt>
                <c:pt idx="12">
                  <c:v>201.48</c:v>
                </c:pt>
                <c:pt idx="13">
                  <c:v>211.04</c:v>
                </c:pt>
                <c:pt idx="14">
                  <c:v>207.62</c:v>
                </c:pt>
                <c:pt idx="15">
                  <c:v>182.91</c:v>
                </c:pt>
                <c:pt idx="16">
                  <c:v>166.41</c:v>
                </c:pt>
                <c:pt idx="17">
                  <c:v>145.61000000000001</c:v>
                </c:pt>
                <c:pt idx="18">
                  <c:v>141.77000000000001</c:v>
                </c:pt>
                <c:pt idx="19">
                  <c:v>151.26333333333332</c:v>
                </c:pt>
                <c:pt idx="20">
                  <c:v>157.96</c:v>
                </c:pt>
                <c:pt idx="21">
                  <c:v>150.18</c:v>
                </c:pt>
                <c:pt idx="22">
                  <c:v>142.15</c:v>
                </c:pt>
                <c:pt idx="23">
                  <c:v>178.73</c:v>
                </c:pt>
                <c:pt idx="24">
                  <c:v>203.63</c:v>
                </c:pt>
                <c:pt idx="25">
                  <c:v>220.19</c:v>
                </c:pt>
                <c:pt idx="26">
                  <c:v>193.98</c:v>
                </c:pt>
                <c:pt idx="27">
                  <c:v>169.14</c:v>
                </c:pt>
                <c:pt idx="28">
                  <c:v>144.93</c:v>
                </c:pt>
                <c:pt idx="29">
                  <c:v>169.35</c:v>
                </c:pt>
                <c:pt idx="30">
                  <c:v>177.5</c:v>
                </c:pt>
                <c:pt idx="31">
                  <c:v>179.5</c:v>
                </c:pt>
                <c:pt idx="32">
                  <c:v>173.56</c:v>
                </c:pt>
                <c:pt idx="33">
                  <c:v>132.37</c:v>
                </c:pt>
                <c:pt idx="34">
                  <c:v>151.91999999999999</c:v>
                </c:pt>
                <c:pt idx="35">
                  <c:v>161.5</c:v>
                </c:pt>
                <c:pt idx="36">
                  <c:v>159.9</c:v>
                </c:pt>
                <c:pt idx="37">
                  <c:v>172.92</c:v>
                </c:pt>
                <c:pt idx="38">
                  <c:v>156.29</c:v>
                </c:pt>
                <c:pt idx="39">
                  <c:v>144.22</c:v>
                </c:pt>
                <c:pt idx="40">
                  <c:v>210.43</c:v>
                </c:pt>
                <c:pt idx="41">
                  <c:v>205.71</c:v>
                </c:pt>
                <c:pt idx="42">
                  <c:v>186.78666666666666</c:v>
                </c:pt>
                <c:pt idx="43">
                  <c:v>258.55</c:v>
                </c:pt>
                <c:pt idx="44">
                  <c:v>252.3</c:v>
                </c:pt>
                <c:pt idx="45">
                  <c:v>234.4</c:v>
                </c:pt>
                <c:pt idx="46">
                  <c:v>272.36</c:v>
                </c:pt>
                <c:pt idx="47">
                  <c:v>340.85</c:v>
                </c:pt>
                <c:pt idx="48">
                  <c:v>360.04</c:v>
                </c:pt>
                <c:pt idx="49">
                  <c:v>417.51</c:v>
                </c:pt>
                <c:pt idx="50">
                  <c:v>374.42</c:v>
                </c:pt>
                <c:pt idx="51">
                  <c:v>284.39999999999998</c:v>
                </c:pt>
                <c:pt idx="52">
                  <c:v>239.34</c:v>
                </c:pt>
                <c:pt idx="53">
                  <c:v>232.55</c:v>
                </c:pt>
                <c:pt idx="54">
                  <c:v>252.09666666666666</c:v>
                </c:pt>
                <c:pt idx="55">
                  <c:v>543.91</c:v>
                </c:pt>
                <c:pt idx="56">
                  <c:v>403.71</c:v>
                </c:pt>
                <c:pt idx="57">
                  <c:v>369.52</c:v>
                </c:pt>
                <c:pt idx="58">
                  <c:v>473.49</c:v>
                </c:pt>
                <c:pt idx="59">
                  <c:v>538.65</c:v>
                </c:pt>
                <c:pt idx="60">
                  <c:v>681.54</c:v>
                </c:pt>
                <c:pt idx="61">
                  <c:v>640</c:v>
                </c:pt>
                <c:pt idx="62">
                  <c:v>587.03</c:v>
                </c:pt>
                <c:pt idx="63">
                  <c:v>473.8</c:v>
                </c:pt>
                <c:pt idx="64">
                  <c:v>566.94333333333327</c:v>
                </c:pt>
                <c:pt idx="65">
                  <c:v>595.83000000000004</c:v>
                </c:pt>
                <c:pt idx="66">
                  <c:v>591.87</c:v>
                </c:pt>
                <c:pt idx="67">
                  <c:v>581.89</c:v>
                </c:pt>
                <c:pt idx="68">
                  <c:v>592.76</c:v>
                </c:pt>
                <c:pt idx="69">
                  <c:v>542.63</c:v>
                </c:pt>
                <c:pt idx="70">
                  <c:v>540.97</c:v>
                </c:pt>
                <c:pt idx="71">
                  <c:v>602.64</c:v>
                </c:pt>
                <c:pt idx="72">
                  <c:v>543.91999999999996</c:v>
                </c:pt>
                <c:pt idx="73">
                  <c:v>368.78</c:v>
                </c:pt>
                <c:pt idx="74">
                  <c:v>388.61</c:v>
                </c:pt>
                <c:pt idx="75">
                  <c:v>342.49</c:v>
                </c:pt>
                <c:pt idx="76">
                  <c:v>302.51</c:v>
                </c:pt>
                <c:pt idx="77">
                  <c:v>258.05</c:v>
                </c:pt>
                <c:pt idx="78">
                  <c:v>297.99</c:v>
                </c:pt>
                <c:pt idx="79">
                  <c:v>277.27999999999997</c:v>
                </c:pt>
                <c:pt idx="80">
                  <c:v>265.22000000000003</c:v>
                </c:pt>
                <c:pt idx="81">
                  <c:v>263.39</c:v>
                </c:pt>
                <c:pt idx="82">
                  <c:v>272.27</c:v>
                </c:pt>
                <c:pt idx="83">
                  <c:v>307.99</c:v>
                </c:pt>
                <c:pt idx="84">
                  <c:v>344.17</c:v>
                </c:pt>
                <c:pt idx="85">
                  <c:v>319.7</c:v>
                </c:pt>
                <c:pt idx="86">
                  <c:v>326.86</c:v>
                </c:pt>
                <c:pt idx="87">
                  <c:v>278.7</c:v>
                </c:pt>
                <c:pt idx="88">
                  <c:v>229.85</c:v>
                </c:pt>
                <c:pt idx="89">
                  <c:v>208.1</c:v>
                </c:pt>
                <c:pt idx="90">
                  <c:v>250.59</c:v>
                </c:pt>
                <c:pt idx="91">
                  <c:v>296.97000000000003</c:v>
                </c:pt>
                <c:pt idx="92">
                  <c:v>286.47000000000003</c:v>
                </c:pt>
                <c:pt idx="93">
                  <c:v>239.37</c:v>
                </c:pt>
                <c:pt idx="94">
                  <c:v>255.55</c:v>
                </c:pt>
                <c:pt idx="95">
                  <c:v>274.39</c:v>
                </c:pt>
                <c:pt idx="96">
                  <c:v>293.39</c:v>
                </c:pt>
                <c:pt idx="97">
                  <c:v>398.62</c:v>
                </c:pt>
                <c:pt idx="98">
                  <c:v>459.34</c:v>
                </c:pt>
                <c:pt idx="99">
                  <c:v>392.22</c:v>
                </c:pt>
                <c:pt idx="100">
                  <c:v>349.47</c:v>
                </c:pt>
                <c:pt idx="101">
                  <c:v>357.96</c:v>
                </c:pt>
                <c:pt idx="102">
                  <c:v>314.67</c:v>
                </c:pt>
                <c:pt idx="103">
                  <c:v>381.16</c:v>
                </c:pt>
                <c:pt idx="104">
                  <c:v>404.29</c:v>
                </c:pt>
                <c:pt idx="105">
                  <c:v>422.76</c:v>
                </c:pt>
                <c:pt idx="106">
                  <c:v>410.25</c:v>
                </c:pt>
                <c:pt idx="107">
                  <c:v>414</c:v>
                </c:pt>
                <c:pt idx="108">
                  <c:v>411.64</c:v>
                </c:pt>
                <c:pt idx="109">
                  <c:v>489.26</c:v>
                </c:pt>
                <c:pt idx="110">
                  <c:v>378.17</c:v>
                </c:pt>
                <c:pt idx="111">
                  <c:v>310.42</c:v>
                </c:pt>
                <c:pt idx="112">
                  <c:v>288.92</c:v>
                </c:pt>
                <c:pt idx="113">
                  <c:v>325.83666666666664</c:v>
                </c:pt>
                <c:pt idx="114">
                  <c:v>339.49</c:v>
                </c:pt>
                <c:pt idx="115">
                  <c:v>371.21</c:v>
                </c:pt>
                <c:pt idx="116">
                  <c:v>363.96</c:v>
                </c:pt>
                <c:pt idx="117">
                  <c:v>319.60000000000002</c:v>
                </c:pt>
                <c:pt idx="118">
                  <c:v>337.27</c:v>
                </c:pt>
                <c:pt idx="119">
                  <c:v>435.3</c:v>
                </c:pt>
                <c:pt idx="120">
                  <c:v>461.78</c:v>
                </c:pt>
                <c:pt idx="121">
                  <c:v>485.71</c:v>
                </c:pt>
                <c:pt idx="122">
                  <c:v>437.29</c:v>
                </c:pt>
                <c:pt idx="123">
                  <c:v>339.66</c:v>
                </c:pt>
                <c:pt idx="124">
                  <c:v>262.89999999999998</c:v>
                </c:pt>
                <c:pt idx="125">
                  <c:v>268.44</c:v>
                </c:pt>
                <c:pt idx="126">
                  <c:v>324.01</c:v>
                </c:pt>
                <c:pt idx="127">
                  <c:v>430.63</c:v>
                </c:pt>
                <c:pt idx="128">
                  <c:v>437.46</c:v>
                </c:pt>
                <c:pt idx="129">
                  <c:v>410.09</c:v>
                </c:pt>
                <c:pt idx="130">
                  <c:v>467.73</c:v>
                </c:pt>
                <c:pt idx="131">
                  <c:v>514.1</c:v>
                </c:pt>
                <c:pt idx="132">
                  <c:v>590.16999999999996</c:v>
                </c:pt>
                <c:pt idx="133">
                  <c:v>606.23</c:v>
                </c:pt>
                <c:pt idx="134">
                  <c:v>506.64</c:v>
                </c:pt>
                <c:pt idx="135">
                  <c:v>299.26</c:v>
                </c:pt>
                <c:pt idx="136">
                  <c:v>276.43</c:v>
                </c:pt>
                <c:pt idx="137">
                  <c:v>360.77666666666664</c:v>
                </c:pt>
                <c:pt idx="138">
                  <c:v>419.6</c:v>
                </c:pt>
                <c:pt idx="139">
                  <c:v>443.01</c:v>
                </c:pt>
                <c:pt idx="140">
                  <c:v>457.16</c:v>
                </c:pt>
                <c:pt idx="141">
                  <c:v>408.72</c:v>
                </c:pt>
                <c:pt idx="142">
                  <c:v>419.48</c:v>
                </c:pt>
                <c:pt idx="143">
                  <c:v>453</c:v>
                </c:pt>
                <c:pt idx="144">
                  <c:v>527.24</c:v>
                </c:pt>
                <c:pt idx="145">
                  <c:v>577.36</c:v>
                </c:pt>
                <c:pt idx="146">
                  <c:v>478.14</c:v>
                </c:pt>
                <c:pt idx="147">
                  <c:v>304.58999999999997</c:v>
                </c:pt>
                <c:pt idx="148">
                  <c:v>216.55</c:v>
                </c:pt>
                <c:pt idx="149">
                  <c:v>333.09333333333331</c:v>
                </c:pt>
                <c:pt idx="150">
                  <c:v>356.73</c:v>
                </c:pt>
                <c:pt idx="151">
                  <c:v>337.3</c:v>
                </c:pt>
                <c:pt idx="152">
                  <c:v>288.68</c:v>
                </c:pt>
                <c:pt idx="153">
                  <c:v>320.55</c:v>
                </c:pt>
                <c:pt idx="154">
                  <c:v>368.16</c:v>
                </c:pt>
                <c:pt idx="155">
                  <c:v>403.58</c:v>
                </c:pt>
                <c:pt idx="156">
                  <c:v>452.57</c:v>
                </c:pt>
                <c:pt idx="157">
                  <c:v>449.47</c:v>
                </c:pt>
                <c:pt idx="158">
                  <c:v>298.47000000000003</c:v>
                </c:pt>
                <c:pt idx="159">
                  <c:v>203.37</c:v>
                </c:pt>
                <c:pt idx="160">
                  <c:v>200.58</c:v>
                </c:pt>
                <c:pt idx="161">
                  <c:v>191.97</c:v>
                </c:pt>
                <c:pt idx="162">
                  <c:v>196.94</c:v>
                </c:pt>
                <c:pt idx="163">
                  <c:v>216.51</c:v>
                </c:pt>
                <c:pt idx="164">
                  <c:v>232.6</c:v>
                </c:pt>
                <c:pt idx="165">
                  <c:v>259.85000000000002</c:v>
                </c:pt>
                <c:pt idx="166">
                  <c:v>331.71</c:v>
                </c:pt>
                <c:pt idx="167">
                  <c:v>435.44</c:v>
                </c:pt>
                <c:pt idx="168">
                  <c:v>438.95</c:v>
                </c:pt>
                <c:pt idx="169">
                  <c:v>427.28</c:v>
                </c:pt>
                <c:pt idx="170">
                  <c:v>421.92</c:v>
                </c:pt>
                <c:pt idx="171">
                  <c:v>294.7</c:v>
                </c:pt>
                <c:pt idx="172">
                  <c:v>276.10000000000002</c:v>
                </c:pt>
                <c:pt idx="173">
                  <c:v>330.90666666666669</c:v>
                </c:pt>
                <c:pt idx="174">
                  <c:v>357.53</c:v>
                </c:pt>
                <c:pt idx="175">
                  <c:v>525.29</c:v>
                </c:pt>
                <c:pt idx="176">
                  <c:v>484.47</c:v>
                </c:pt>
                <c:pt idx="177">
                  <c:v>526.79999999999995</c:v>
                </c:pt>
                <c:pt idx="178">
                  <c:v>568.36</c:v>
                </c:pt>
                <c:pt idx="179">
                  <c:v>660.07</c:v>
                </c:pt>
                <c:pt idx="180">
                  <c:v>697.01</c:v>
                </c:pt>
                <c:pt idx="181">
                  <c:v>664.49</c:v>
                </c:pt>
                <c:pt idx="182">
                  <c:v>544.14</c:v>
                </c:pt>
                <c:pt idx="183">
                  <c:v>435.74</c:v>
                </c:pt>
                <c:pt idx="184">
                  <c:v>548.12333333333333</c:v>
                </c:pt>
                <c:pt idx="185">
                  <c:v>550.70000000000005</c:v>
                </c:pt>
                <c:pt idx="186">
                  <c:v>674.11</c:v>
                </c:pt>
                <c:pt idx="187">
                  <c:v>683.88</c:v>
                </c:pt>
                <c:pt idx="188">
                  <c:v>664.37</c:v>
                </c:pt>
                <c:pt idx="189">
                  <c:v>670.88</c:v>
                </c:pt>
                <c:pt idx="190">
                  <c:v>775.27</c:v>
                </c:pt>
                <c:pt idx="191">
                  <c:v>789.2</c:v>
                </c:pt>
                <c:pt idx="192">
                  <c:v>761.62</c:v>
                </c:pt>
                <c:pt idx="193">
                  <c:v>729.67</c:v>
                </c:pt>
                <c:pt idx="194">
                  <c:v>571.34</c:v>
                </c:pt>
                <c:pt idx="195">
                  <c:v>519.02</c:v>
                </c:pt>
                <c:pt idx="196">
                  <c:v>424.23</c:v>
                </c:pt>
                <c:pt idx="197">
                  <c:v>627.29</c:v>
                </c:pt>
                <c:pt idx="198">
                  <c:v>663.91</c:v>
                </c:pt>
                <c:pt idx="199">
                  <c:v>637.1</c:v>
                </c:pt>
                <c:pt idx="200">
                  <c:v>588.98</c:v>
                </c:pt>
                <c:pt idx="201">
                  <c:v>494.08</c:v>
                </c:pt>
                <c:pt idx="202">
                  <c:v>433.3</c:v>
                </c:pt>
                <c:pt idx="203">
                  <c:v>463.26</c:v>
                </c:pt>
                <c:pt idx="204">
                  <c:v>603.30999999999995</c:v>
                </c:pt>
                <c:pt idx="205">
                  <c:v>680.21</c:v>
                </c:pt>
                <c:pt idx="206">
                  <c:v>621.54999999999995</c:v>
                </c:pt>
                <c:pt idx="207">
                  <c:v>565.89</c:v>
                </c:pt>
                <c:pt idx="208">
                  <c:v>603.87</c:v>
                </c:pt>
                <c:pt idx="209" formatCode="0.00">
                  <c:v>597.10333333333335</c:v>
                </c:pt>
                <c:pt idx="210">
                  <c:v>389.92</c:v>
                </c:pt>
                <c:pt idx="211">
                  <c:v>655.84</c:v>
                </c:pt>
                <c:pt idx="212">
                  <c:v>685.08</c:v>
                </c:pt>
                <c:pt idx="213">
                  <c:v>594.62</c:v>
                </c:pt>
                <c:pt idx="214">
                  <c:v>559.87</c:v>
                </c:pt>
                <c:pt idx="215">
                  <c:v>588.57000000000005</c:v>
                </c:pt>
                <c:pt idx="216">
                  <c:v>684.31</c:v>
                </c:pt>
                <c:pt idx="217">
                  <c:v>775.33</c:v>
                </c:pt>
                <c:pt idx="218">
                  <c:v>665.42</c:v>
                </c:pt>
                <c:pt idx="219">
                  <c:v>654.32000000000005</c:v>
                </c:pt>
                <c:pt idx="220">
                  <c:v>523.4</c:v>
                </c:pt>
                <c:pt idx="221">
                  <c:v>560.80999999999995</c:v>
                </c:pt>
                <c:pt idx="222">
                  <c:v>519.79</c:v>
                </c:pt>
                <c:pt idx="223">
                  <c:v>619.65</c:v>
                </c:pt>
                <c:pt idx="224">
                  <c:v>633.52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Coffee!#REF!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F24-4B95-8CA3-D4C43590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69936"/>
        <c:axId val="552871856"/>
      </c:lineChart>
      <c:dateAx>
        <c:axId val="552869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71856"/>
        <c:crosses val="autoZero"/>
        <c:auto val="1"/>
        <c:lblOffset val="100"/>
        <c:baseTimeUnit val="months"/>
      </c:dateAx>
      <c:valAx>
        <c:axId val="5528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6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111125</xdr:colOff>
      <xdr:row>3</xdr:row>
      <xdr:rowOff>31750</xdr:rowOff>
    </xdr:from>
    <xdr:to>
      <xdr:col>16</xdr:col>
      <xdr:colOff>415925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50677-6109-8E24-3D98-EE6D48247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1</xdr:row>
      <xdr:rowOff>12700</xdr:rowOff>
    </xdr:from>
    <xdr:to>
      <xdr:col>14</xdr:col>
      <xdr:colOff>25399</xdr:colOff>
      <xdr:row>20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762324-EA01-220E-A0AE-9557927C5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2DA4-3923-4DBF-B5E2-7B3E078C75A2}">
  <dimension ref="A2:H237"/>
  <sheetViews>
    <sheetView workbookViewId="0">
      <pane ySplit="4" topLeftCell="A220" activePane="bottomLeft" state="frozen"/>
      <selection pane="bottomLeft" activeCell="D235" sqref="D235"/>
    </sheetView>
  </sheetViews>
  <sheetFormatPr defaultRowHeight="11.5" x14ac:dyDescent="0.25"/>
  <cols>
    <col min="1" max="2" width="8.81640625" style="1" bestFit="1" customWidth="1"/>
    <col min="3" max="3" width="13.453125" style="2" bestFit="1" customWidth="1"/>
    <col min="4" max="4" width="19.7265625" style="2" customWidth="1"/>
    <col min="5" max="5" width="13.90625" style="2" customWidth="1"/>
    <col min="6" max="6" width="12.453125" style="2" customWidth="1"/>
    <col min="7" max="7" width="10" style="2" customWidth="1"/>
    <col min="8" max="16384" width="8.7265625" style="1"/>
  </cols>
  <sheetData>
    <row r="2" spans="1:7" ht="18" customHeight="1" x14ac:dyDescent="0.25">
      <c r="A2" s="178" t="s">
        <v>4</v>
      </c>
      <c r="B2" s="181" t="s">
        <v>0</v>
      </c>
      <c r="C2" s="181" t="s">
        <v>1</v>
      </c>
      <c r="D2" s="181" t="s">
        <v>2</v>
      </c>
      <c r="E2" s="181" t="s">
        <v>3</v>
      </c>
      <c r="F2" s="181" t="s">
        <v>160</v>
      </c>
      <c r="G2" s="184" t="s">
        <v>161</v>
      </c>
    </row>
    <row r="3" spans="1:7" x14ac:dyDescent="0.25">
      <c r="A3" s="179"/>
      <c r="B3" s="182"/>
      <c r="C3" s="182"/>
      <c r="D3" s="182"/>
      <c r="E3" s="182"/>
      <c r="F3" s="182"/>
      <c r="G3" s="185"/>
    </row>
    <row r="4" spans="1:7" x14ac:dyDescent="0.25">
      <c r="A4" s="180"/>
      <c r="B4" s="183"/>
      <c r="C4" s="183"/>
      <c r="D4" s="183"/>
      <c r="E4" s="183"/>
      <c r="F4" s="183"/>
      <c r="G4" s="186"/>
    </row>
    <row r="5" spans="1:7" x14ac:dyDescent="0.25">
      <c r="A5" s="5">
        <v>39083</v>
      </c>
      <c r="B5" s="6">
        <f>YEAR(A5)</f>
        <v>2007</v>
      </c>
      <c r="C5" s="7">
        <v>78.489999999999995</v>
      </c>
      <c r="D5" s="7">
        <v>67</v>
      </c>
      <c r="E5" s="7">
        <v>56.75</v>
      </c>
      <c r="F5" s="7">
        <v>1608.19</v>
      </c>
      <c r="G5" s="8">
        <v>31.63</v>
      </c>
    </row>
    <row r="6" spans="1:7" x14ac:dyDescent="0.25">
      <c r="A6" s="5">
        <v>39114</v>
      </c>
      <c r="B6" s="6">
        <f t="shared" ref="B6:B69" si="0">YEAR(A6)</f>
        <v>2007</v>
      </c>
      <c r="C6" s="7">
        <v>77.83</v>
      </c>
      <c r="D6" s="7">
        <v>66.42</v>
      </c>
      <c r="E6" s="7">
        <v>56.14</v>
      </c>
      <c r="F6" s="7">
        <v>1609.71</v>
      </c>
      <c r="G6" s="8">
        <v>31.4</v>
      </c>
    </row>
    <row r="7" spans="1:7" x14ac:dyDescent="0.25">
      <c r="A7" s="5">
        <v>39142</v>
      </c>
      <c r="B7" s="6">
        <f t="shared" si="0"/>
        <v>2007</v>
      </c>
      <c r="C7" s="7">
        <v>77.709999999999994</v>
      </c>
      <c r="D7" s="7">
        <v>66.010000000000005</v>
      </c>
      <c r="E7" s="7">
        <v>55.99</v>
      </c>
      <c r="F7" s="7">
        <v>1603.6</v>
      </c>
      <c r="G7" s="8">
        <v>31.07</v>
      </c>
    </row>
    <row r="8" spans="1:7" x14ac:dyDescent="0.25">
      <c r="A8" s="5">
        <v>39173</v>
      </c>
      <c r="B8" s="6">
        <f t="shared" si="0"/>
        <v>2007</v>
      </c>
      <c r="C8" s="7">
        <v>78.400000000000006</v>
      </c>
      <c r="D8" s="7">
        <v>67.09</v>
      </c>
      <c r="E8" s="7">
        <v>56.13</v>
      </c>
      <c r="F8" s="7">
        <v>1593.32</v>
      </c>
      <c r="G8" s="8">
        <v>30.95</v>
      </c>
    </row>
    <row r="9" spans="1:7" x14ac:dyDescent="0.25">
      <c r="A9" s="5">
        <v>39203</v>
      </c>
      <c r="B9" s="6">
        <f t="shared" si="0"/>
        <v>2007</v>
      </c>
      <c r="C9" s="7">
        <v>79.180000000000007</v>
      </c>
      <c r="D9" s="7">
        <v>67.72</v>
      </c>
      <c r="E9" s="7">
        <v>56.97</v>
      </c>
      <c r="F9" s="7">
        <v>1597.1</v>
      </c>
      <c r="G9" s="8">
        <v>32.31</v>
      </c>
    </row>
    <row r="10" spans="1:7" x14ac:dyDescent="0.25">
      <c r="A10" s="5">
        <v>39234</v>
      </c>
      <c r="B10" s="6">
        <f t="shared" si="0"/>
        <v>2007</v>
      </c>
      <c r="C10" s="7">
        <v>79.45</v>
      </c>
      <c r="D10" s="7">
        <v>68.209999999999994</v>
      </c>
      <c r="E10" s="7">
        <v>57.21</v>
      </c>
      <c r="F10" s="7">
        <v>1590.73</v>
      </c>
      <c r="G10" s="8">
        <v>32.880000000000003</v>
      </c>
    </row>
    <row r="11" spans="1:7" x14ac:dyDescent="0.25">
      <c r="A11" s="5">
        <v>39264</v>
      </c>
      <c r="B11" s="6">
        <f t="shared" si="0"/>
        <v>2007</v>
      </c>
      <c r="C11" s="7">
        <v>79.739999999999995</v>
      </c>
      <c r="D11" s="7">
        <v>68.150000000000006</v>
      </c>
      <c r="E11" s="7">
        <v>57.32</v>
      </c>
      <c r="F11" s="7">
        <v>1642.2</v>
      </c>
      <c r="G11" s="8">
        <v>33.020000000000003</v>
      </c>
    </row>
    <row r="12" spans="1:7" x14ac:dyDescent="0.25">
      <c r="A12" s="5">
        <v>39295</v>
      </c>
      <c r="B12" s="6">
        <f t="shared" si="0"/>
        <v>2007</v>
      </c>
      <c r="C12" s="7">
        <v>80</v>
      </c>
      <c r="D12" s="7">
        <v>68.17</v>
      </c>
      <c r="E12" s="7">
        <v>57.58</v>
      </c>
      <c r="F12" s="7">
        <v>1655.85</v>
      </c>
      <c r="G12" s="8">
        <v>33.21</v>
      </c>
    </row>
    <row r="13" spans="1:7" x14ac:dyDescent="0.25">
      <c r="A13" s="5">
        <v>39326</v>
      </c>
      <c r="B13" s="6">
        <f t="shared" si="0"/>
        <v>2007</v>
      </c>
      <c r="C13" s="7">
        <v>80.099999999999994</v>
      </c>
      <c r="D13" s="7">
        <v>68.430000000000007</v>
      </c>
      <c r="E13" s="7">
        <v>57.58</v>
      </c>
      <c r="F13" s="7">
        <v>1671.63</v>
      </c>
      <c r="G13" s="8">
        <v>34.08</v>
      </c>
    </row>
    <row r="14" spans="1:7" x14ac:dyDescent="0.25">
      <c r="A14" s="5">
        <v>39356</v>
      </c>
      <c r="B14" s="6">
        <f t="shared" si="0"/>
        <v>2007</v>
      </c>
      <c r="C14" s="7">
        <v>82.11</v>
      </c>
      <c r="D14" s="7">
        <v>71.14</v>
      </c>
      <c r="E14" s="7">
        <v>58.6</v>
      </c>
      <c r="F14" s="7">
        <v>1633.21</v>
      </c>
      <c r="G14" s="8">
        <v>32.85</v>
      </c>
    </row>
    <row r="15" spans="1:7" x14ac:dyDescent="0.25">
      <c r="A15" s="5">
        <v>39387</v>
      </c>
      <c r="B15" s="6">
        <f t="shared" si="0"/>
        <v>2007</v>
      </c>
      <c r="C15" s="7">
        <v>83.43</v>
      </c>
      <c r="D15" s="7">
        <v>72.739999999999995</v>
      </c>
      <c r="E15" s="7">
        <v>59.66</v>
      </c>
      <c r="F15" s="7">
        <v>1671.54</v>
      </c>
      <c r="G15" s="8">
        <v>32.72</v>
      </c>
    </row>
    <row r="16" spans="1:7" x14ac:dyDescent="0.25">
      <c r="A16" s="5">
        <v>39417</v>
      </c>
      <c r="B16" s="6">
        <f t="shared" si="0"/>
        <v>2007</v>
      </c>
      <c r="C16" s="7">
        <v>84.5</v>
      </c>
      <c r="D16" s="7">
        <v>73.95</v>
      </c>
      <c r="E16" s="7">
        <v>60.82</v>
      </c>
      <c r="F16" s="7">
        <v>1705.76</v>
      </c>
      <c r="G16" s="8">
        <v>32.61</v>
      </c>
    </row>
    <row r="17" spans="1:7" x14ac:dyDescent="0.25">
      <c r="A17" s="5">
        <v>39448</v>
      </c>
      <c r="B17" s="6">
        <f t="shared" si="0"/>
        <v>2008</v>
      </c>
      <c r="C17" s="7">
        <v>88.04</v>
      </c>
      <c r="D17" s="7">
        <v>77.69</v>
      </c>
      <c r="E17" s="7">
        <v>64.37</v>
      </c>
      <c r="F17" s="7">
        <v>1735.7</v>
      </c>
      <c r="G17" s="8">
        <v>34.79</v>
      </c>
    </row>
    <row r="18" spans="1:7" x14ac:dyDescent="0.25">
      <c r="A18" s="5">
        <v>39479</v>
      </c>
      <c r="B18" s="6">
        <f t="shared" si="0"/>
        <v>2008</v>
      </c>
      <c r="C18" s="7">
        <v>89.99</v>
      </c>
      <c r="D18" s="7">
        <v>80.17</v>
      </c>
      <c r="E18" s="7">
        <v>66.66</v>
      </c>
      <c r="F18" s="7">
        <v>1769.35</v>
      </c>
      <c r="G18" s="8">
        <v>35.08</v>
      </c>
    </row>
    <row r="19" spans="1:7" x14ac:dyDescent="0.25">
      <c r="A19" s="5">
        <v>39508</v>
      </c>
      <c r="B19" s="6">
        <f t="shared" si="0"/>
        <v>2008</v>
      </c>
      <c r="C19" s="7">
        <v>91.63</v>
      </c>
      <c r="D19" s="7">
        <v>81.63</v>
      </c>
      <c r="E19" s="7">
        <v>66.94</v>
      </c>
      <c r="F19" s="7">
        <v>1783.63</v>
      </c>
      <c r="G19" s="8">
        <v>34.99</v>
      </c>
    </row>
    <row r="20" spans="1:7" x14ac:dyDescent="0.25">
      <c r="A20" s="5">
        <v>39539</v>
      </c>
      <c r="B20" s="6">
        <f t="shared" si="0"/>
        <v>2008</v>
      </c>
      <c r="C20" s="7">
        <v>94.32</v>
      </c>
      <c r="D20" s="7">
        <v>84.49</v>
      </c>
      <c r="E20" s="7">
        <v>68.81</v>
      </c>
      <c r="F20" s="7">
        <v>1785.46</v>
      </c>
      <c r="G20" s="8">
        <v>34.909999999999997</v>
      </c>
    </row>
    <row r="21" spans="1:7" x14ac:dyDescent="0.25">
      <c r="A21" s="5">
        <v>39569</v>
      </c>
      <c r="B21" s="6">
        <f t="shared" si="0"/>
        <v>2008</v>
      </c>
      <c r="C21" s="7">
        <v>98.6</v>
      </c>
      <c r="D21" s="7">
        <v>88.51</v>
      </c>
      <c r="E21" s="7">
        <v>74.3</v>
      </c>
      <c r="F21" s="7">
        <v>1797.9</v>
      </c>
      <c r="G21" s="8">
        <v>35.5</v>
      </c>
    </row>
    <row r="22" spans="1:7" x14ac:dyDescent="0.25">
      <c r="A22" s="5">
        <v>39600</v>
      </c>
      <c r="B22" s="6">
        <f t="shared" si="0"/>
        <v>2008</v>
      </c>
      <c r="C22" s="7">
        <v>100.43</v>
      </c>
      <c r="D22" s="7">
        <v>93.18</v>
      </c>
      <c r="E22" s="7">
        <v>75.45</v>
      </c>
      <c r="F22" s="7">
        <v>1810.07</v>
      </c>
      <c r="G22" s="8">
        <v>35.840000000000003</v>
      </c>
    </row>
    <row r="23" spans="1:7" x14ac:dyDescent="0.25">
      <c r="A23" s="5">
        <v>39630</v>
      </c>
      <c r="B23" s="6">
        <f t="shared" si="0"/>
        <v>2008</v>
      </c>
      <c r="C23" s="7">
        <v>103.3</v>
      </c>
      <c r="D23" s="7">
        <v>97.68</v>
      </c>
      <c r="E23" s="7">
        <v>80.95</v>
      </c>
      <c r="F23" s="7">
        <v>1802.58</v>
      </c>
      <c r="G23" s="8">
        <v>35.729999999999997</v>
      </c>
    </row>
    <row r="24" spans="1:7" x14ac:dyDescent="0.25">
      <c r="A24" s="5">
        <v>39661</v>
      </c>
      <c r="B24" s="6">
        <f t="shared" si="0"/>
        <v>2008</v>
      </c>
      <c r="C24" s="7">
        <v>105.9</v>
      </c>
      <c r="D24" s="7">
        <v>100.9</v>
      </c>
      <c r="E24" s="7">
        <v>84.95</v>
      </c>
      <c r="F24" s="7">
        <v>1807.43</v>
      </c>
      <c r="G24" s="8">
        <v>35.950000000000003</v>
      </c>
    </row>
    <row r="25" spans="1:7" x14ac:dyDescent="0.25">
      <c r="A25" s="5">
        <v>39692</v>
      </c>
      <c r="B25" s="6">
        <f t="shared" si="0"/>
        <v>2008</v>
      </c>
      <c r="C25" s="7">
        <v>106.85</v>
      </c>
      <c r="D25" s="7">
        <v>100.77</v>
      </c>
      <c r="E25" s="7">
        <v>84.52</v>
      </c>
      <c r="F25" s="7">
        <v>1816.06</v>
      </c>
      <c r="G25" s="8">
        <v>36.590000000000003</v>
      </c>
    </row>
    <row r="26" spans="1:7" x14ac:dyDescent="0.25">
      <c r="A26" s="5">
        <v>39722</v>
      </c>
      <c r="B26" s="6">
        <f t="shared" si="0"/>
        <v>2008</v>
      </c>
      <c r="C26" s="7">
        <v>102.12</v>
      </c>
      <c r="D26" s="7">
        <v>98.09</v>
      </c>
      <c r="E26" s="7">
        <v>82.61</v>
      </c>
      <c r="F26" s="7">
        <v>1827.09</v>
      </c>
      <c r="G26" s="8">
        <v>36.950000000000003</v>
      </c>
    </row>
    <row r="27" spans="1:7" x14ac:dyDescent="0.25">
      <c r="A27" s="5">
        <v>39753</v>
      </c>
      <c r="B27" s="6">
        <f t="shared" si="0"/>
        <v>2008</v>
      </c>
      <c r="C27" s="7">
        <v>96.07</v>
      </c>
      <c r="D27" s="7">
        <v>90.62</v>
      </c>
      <c r="E27" s="7">
        <v>81.11</v>
      </c>
      <c r="F27" s="7">
        <v>1827.09</v>
      </c>
      <c r="G27" s="8">
        <v>37.450000000000003</v>
      </c>
    </row>
    <row r="28" spans="1:7" x14ac:dyDescent="0.25">
      <c r="A28" s="5">
        <v>39783</v>
      </c>
      <c r="B28" s="6">
        <f t="shared" si="0"/>
        <v>2008</v>
      </c>
      <c r="C28" s="7">
        <v>83.61</v>
      </c>
      <c r="D28" s="7">
        <v>77.540000000000006</v>
      </c>
      <c r="E28" s="7">
        <v>71.099999999999994</v>
      </c>
      <c r="F28" s="7">
        <v>1845.46</v>
      </c>
      <c r="G28" s="8">
        <v>37.56</v>
      </c>
    </row>
    <row r="29" spans="1:7" x14ac:dyDescent="0.25">
      <c r="A29" s="5">
        <v>39814</v>
      </c>
      <c r="B29" s="6">
        <f t="shared" si="0"/>
        <v>2009</v>
      </c>
      <c r="C29" s="7">
        <v>84.52</v>
      </c>
      <c r="D29" s="7">
        <v>75.569999999999993</v>
      </c>
      <c r="E29" s="7">
        <v>68</v>
      </c>
      <c r="F29" s="7">
        <v>1918</v>
      </c>
      <c r="G29" s="8">
        <v>39.72</v>
      </c>
    </row>
    <row r="30" spans="1:7" x14ac:dyDescent="0.25">
      <c r="A30" s="5">
        <v>39845</v>
      </c>
      <c r="B30" s="6">
        <f t="shared" si="0"/>
        <v>2009</v>
      </c>
      <c r="C30" s="7">
        <v>81.69</v>
      </c>
      <c r="D30" s="7">
        <v>73.94</v>
      </c>
      <c r="E30" s="7">
        <v>65.94</v>
      </c>
      <c r="F30" s="7">
        <v>1925</v>
      </c>
      <c r="G30" s="8">
        <v>41.02</v>
      </c>
    </row>
    <row r="31" spans="1:7" x14ac:dyDescent="0.25">
      <c r="A31" s="5">
        <v>39873</v>
      </c>
      <c r="B31" s="6">
        <f t="shared" si="0"/>
        <v>2009</v>
      </c>
      <c r="C31" s="7">
        <v>80.64</v>
      </c>
      <c r="D31" s="7">
        <v>72.59</v>
      </c>
      <c r="E31" s="7">
        <v>63.26</v>
      </c>
      <c r="F31" s="7">
        <v>1913</v>
      </c>
      <c r="G31" s="8">
        <v>39.700000000000003</v>
      </c>
    </row>
    <row r="32" spans="1:7" x14ac:dyDescent="0.25">
      <c r="A32" s="5">
        <v>39904</v>
      </c>
      <c r="B32" s="6">
        <f t="shared" si="0"/>
        <v>2009</v>
      </c>
      <c r="C32" s="7">
        <v>79.790000000000006</v>
      </c>
      <c r="D32" s="7">
        <v>70.11</v>
      </c>
      <c r="E32" s="7">
        <v>60.25</v>
      </c>
      <c r="F32" s="7">
        <v>1925</v>
      </c>
      <c r="G32" s="8">
        <v>38.1</v>
      </c>
    </row>
    <row r="33" spans="1:7" x14ac:dyDescent="0.25">
      <c r="A33" s="5">
        <v>39934</v>
      </c>
      <c r="B33" s="6">
        <f t="shared" si="0"/>
        <v>2009</v>
      </c>
      <c r="C33" s="7">
        <v>77.88</v>
      </c>
      <c r="D33" s="7">
        <v>66.11</v>
      </c>
      <c r="E33" s="7">
        <v>58.27</v>
      </c>
      <c r="F33" s="7">
        <v>1922</v>
      </c>
      <c r="G33" s="8">
        <v>38.11</v>
      </c>
    </row>
    <row r="34" spans="1:7" x14ac:dyDescent="0.25">
      <c r="A34" s="5">
        <v>39965</v>
      </c>
      <c r="B34" s="6">
        <f t="shared" si="0"/>
        <v>2009</v>
      </c>
      <c r="C34" s="7">
        <v>78.94</v>
      </c>
      <c r="D34" s="7">
        <v>67.260000000000005</v>
      </c>
      <c r="E34" s="7">
        <v>57.99</v>
      </c>
      <c r="F34" s="7">
        <v>1915</v>
      </c>
      <c r="G34" s="8">
        <v>38.119999999999997</v>
      </c>
    </row>
    <row r="35" spans="1:7" x14ac:dyDescent="0.25">
      <c r="A35" s="5">
        <v>39995</v>
      </c>
      <c r="B35" s="6">
        <f t="shared" si="0"/>
        <v>2009</v>
      </c>
      <c r="C35" s="7">
        <v>80.23</v>
      </c>
      <c r="D35" s="7">
        <v>69.58</v>
      </c>
      <c r="E35" s="7">
        <v>60.19</v>
      </c>
      <c r="F35" s="7">
        <v>1910</v>
      </c>
      <c r="G35" s="8">
        <v>38.18</v>
      </c>
    </row>
    <row r="36" spans="1:7" x14ac:dyDescent="0.25">
      <c r="A36" s="5">
        <v>40026</v>
      </c>
      <c r="B36" s="6">
        <f t="shared" si="0"/>
        <v>2009</v>
      </c>
      <c r="C36" s="7">
        <v>80.3</v>
      </c>
      <c r="D36" s="7">
        <v>68.77</v>
      </c>
      <c r="E36" s="7">
        <v>59.75</v>
      </c>
      <c r="F36" s="7">
        <v>1911</v>
      </c>
      <c r="G36" s="8">
        <v>38.21</v>
      </c>
    </row>
    <row r="37" spans="1:7" x14ac:dyDescent="0.25">
      <c r="A37" s="5">
        <v>40057</v>
      </c>
      <c r="B37" s="6">
        <f t="shared" si="0"/>
        <v>2009</v>
      </c>
      <c r="C37" s="7">
        <v>79.47</v>
      </c>
      <c r="D37" s="7">
        <v>68.709999999999994</v>
      </c>
      <c r="E37" s="7">
        <v>59.73</v>
      </c>
      <c r="F37" s="7">
        <v>1907</v>
      </c>
      <c r="G37" s="8">
        <v>37.03</v>
      </c>
    </row>
    <row r="38" spans="1:7" x14ac:dyDescent="0.25">
      <c r="A38" s="5">
        <v>40087</v>
      </c>
      <c r="B38" s="6">
        <f t="shared" si="0"/>
        <v>2009</v>
      </c>
      <c r="C38" s="7">
        <v>81.599999999999994</v>
      </c>
      <c r="D38" s="7">
        <v>70.41</v>
      </c>
      <c r="E38" s="7">
        <v>60.47</v>
      </c>
      <c r="F38" s="7">
        <v>1914.09</v>
      </c>
      <c r="G38" s="8">
        <v>42.06</v>
      </c>
    </row>
    <row r="39" spans="1:7" x14ac:dyDescent="0.25">
      <c r="A39" s="5">
        <v>40118</v>
      </c>
      <c r="B39" s="6">
        <f t="shared" si="0"/>
        <v>2009</v>
      </c>
      <c r="C39" s="7">
        <v>82.37</v>
      </c>
      <c r="D39" s="7">
        <v>71.239999999999995</v>
      </c>
      <c r="E39" s="7">
        <v>60.78</v>
      </c>
      <c r="F39" s="7">
        <v>1933.56</v>
      </c>
      <c r="G39" s="8">
        <v>42.94</v>
      </c>
    </row>
    <row r="40" spans="1:7" x14ac:dyDescent="0.25">
      <c r="A40" s="5">
        <v>40148</v>
      </c>
      <c r="B40" s="6">
        <f t="shared" si="0"/>
        <v>2009</v>
      </c>
      <c r="C40" s="7">
        <v>82.84</v>
      </c>
      <c r="D40" s="7">
        <v>73.12</v>
      </c>
      <c r="E40" s="7">
        <v>61.08</v>
      </c>
      <c r="F40" s="7">
        <v>1936.56</v>
      </c>
      <c r="G40" s="8">
        <v>42.06</v>
      </c>
    </row>
    <row r="41" spans="1:7" x14ac:dyDescent="0.25">
      <c r="A41" s="5">
        <v>40179</v>
      </c>
      <c r="B41" s="6">
        <f t="shared" si="0"/>
        <v>2010</v>
      </c>
      <c r="C41" s="7">
        <v>83.95</v>
      </c>
      <c r="D41" s="7">
        <v>73.78</v>
      </c>
      <c r="E41" s="7">
        <v>62.27</v>
      </c>
      <c r="F41" s="7">
        <v>1913.29</v>
      </c>
      <c r="G41" s="8">
        <v>42.06</v>
      </c>
    </row>
    <row r="42" spans="1:7" x14ac:dyDescent="0.25">
      <c r="A42" s="5">
        <v>40210</v>
      </c>
      <c r="B42" s="6">
        <f t="shared" si="0"/>
        <v>2010</v>
      </c>
      <c r="C42" s="7">
        <v>84.61</v>
      </c>
      <c r="D42" s="7">
        <v>73.400000000000006</v>
      </c>
      <c r="E42" s="7">
        <v>62.2</v>
      </c>
      <c r="F42" s="7">
        <v>1897.03</v>
      </c>
      <c r="G42" s="8">
        <v>42.3</v>
      </c>
    </row>
    <row r="43" spans="1:7" x14ac:dyDescent="0.25">
      <c r="A43" s="5">
        <v>40238</v>
      </c>
      <c r="B43" s="6">
        <f t="shared" si="0"/>
        <v>2010</v>
      </c>
      <c r="C43" s="7">
        <v>85.61</v>
      </c>
      <c r="D43" s="7">
        <v>74.099999999999994</v>
      </c>
      <c r="E43" s="7">
        <v>62.36</v>
      </c>
      <c r="F43" s="7">
        <v>1970.54</v>
      </c>
      <c r="G43" s="8">
        <v>41.7</v>
      </c>
    </row>
    <row r="44" spans="1:7" x14ac:dyDescent="0.25">
      <c r="A44" s="5">
        <v>40269</v>
      </c>
      <c r="B44" s="6">
        <f t="shared" si="0"/>
        <v>2010</v>
      </c>
      <c r="C44" s="7">
        <v>86.8</v>
      </c>
      <c r="D44" s="7">
        <v>76.03</v>
      </c>
      <c r="E44" s="7">
        <v>63.19</v>
      </c>
      <c r="F44" s="7">
        <v>1959.99</v>
      </c>
      <c r="G44" s="8">
        <v>39.9</v>
      </c>
    </row>
    <row r="45" spans="1:7" x14ac:dyDescent="0.25">
      <c r="A45" s="5">
        <v>40299</v>
      </c>
      <c r="B45" s="6">
        <f t="shared" si="0"/>
        <v>2010</v>
      </c>
      <c r="C45" s="7">
        <v>88.92</v>
      </c>
      <c r="D45" s="7">
        <v>78.260000000000005</v>
      </c>
      <c r="E45" s="7">
        <v>65.180000000000007</v>
      </c>
      <c r="F45" s="7">
        <v>2095.9</v>
      </c>
      <c r="G45" s="8">
        <v>40.799999999999997</v>
      </c>
    </row>
    <row r="46" spans="1:7" x14ac:dyDescent="0.25">
      <c r="A46" s="5">
        <v>40330</v>
      </c>
      <c r="B46" s="6">
        <f t="shared" si="0"/>
        <v>2010</v>
      </c>
      <c r="C46" s="7">
        <v>89.19</v>
      </c>
      <c r="D46" s="7">
        <v>78.239999999999995</v>
      </c>
      <c r="E46" s="7">
        <v>65.599999999999994</v>
      </c>
      <c r="F46" s="7">
        <v>2121.1</v>
      </c>
      <c r="G46" s="8">
        <v>41.5</v>
      </c>
    </row>
    <row r="47" spans="1:7" x14ac:dyDescent="0.25">
      <c r="A47" s="5">
        <v>40360</v>
      </c>
      <c r="B47" s="6">
        <f t="shared" si="0"/>
        <v>2010</v>
      </c>
      <c r="C47" s="7">
        <v>90.83</v>
      </c>
      <c r="D47" s="7">
        <v>78.44</v>
      </c>
      <c r="E47" s="7">
        <v>63.98</v>
      </c>
      <c r="F47" s="7">
        <v>2046</v>
      </c>
      <c r="G47" s="8">
        <v>41.6</v>
      </c>
    </row>
    <row r="48" spans="1:7" x14ac:dyDescent="0.25">
      <c r="A48" s="5">
        <v>40391</v>
      </c>
      <c r="B48" s="6">
        <f t="shared" si="0"/>
        <v>2010</v>
      </c>
      <c r="C48" s="7">
        <v>91.3</v>
      </c>
      <c r="D48" s="7">
        <v>78.95</v>
      </c>
      <c r="E48" s="7">
        <v>64.53</v>
      </c>
      <c r="F48" s="7">
        <v>2000.42</v>
      </c>
      <c r="G48" s="8">
        <v>41.85</v>
      </c>
    </row>
    <row r="49" spans="1:8" x14ac:dyDescent="0.25">
      <c r="A49" s="5">
        <v>40422</v>
      </c>
      <c r="B49" s="6">
        <f t="shared" si="0"/>
        <v>2010</v>
      </c>
      <c r="C49" s="7">
        <v>93.82</v>
      </c>
      <c r="D49" s="7">
        <v>78.95</v>
      </c>
      <c r="E49" s="7">
        <v>67.319999999999993</v>
      </c>
      <c r="F49" s="7">
        <v>1986.04</v>
      </c>
      <c r="G49" s="8">
        <v>42.99</v>
      </c>
    </row>
    <row r="50" spans="1:8" x14ac:dyDescent="0.25">
      <c r="A50" s="5">
        <v>40452</v>
      </c>
      <c r="B50" s="6">
        <f t="shared" si="0"/>
        <v>2010</v>
      </c>
      <c r="C50" s="7">
        <v>95</v>
      </c>
      <c r="D50" s="7">
        <v>84.18</v>
      </c>
      <c r="E50" s="7">
        <v>67.77</v>
      </c>
      <c r="F50" s="7">
        <v>2008.26</v>
      </c>
      <c r="G50" s="8">
        <v>43.19</v>
      </c>
    </row>
    <row r="51" spans="1:8" x14ac:dyDescent="0.25">
      <c r="A51" s="5">
        <v>40483</v>
      </c>
      <c r="B51" s="6">
        <f t="shared" si="0"/>
        <v>2010</v>
      </c>
      <c r="C51" s="7">
        <v>96.3</v>
      </c>
      <c r="D51" s="7">
        <v>85.88</v>
      </c>
      <c r="E51" s="7">
        <v>69.5</v>
      </c>
      <c r="F51" s="7">
        <v>2045.87</v>
      </c>
      <c r="G51" s="8">
        <v>43.45</v>
      </c>
    </row>
    <row r="52" spans="1:8" x14ac:dyDescent="0.25">
      <c r="A52" s="5">
        <v>40513</v>
      </c>
      <c r="B52" s="6">
        <f t="shared" si="0"/>
        <v>2010</v>
      </c>
      <c r="C52" s="7">
        <v>95.65</v>
      </c>
      <c r="D52" s="7">
        <v>87.1</v>
      </c>
      <c r="E52" s="7">
        <v>74.12</v>
      </c>
      <c r="F52" s="7">
        <v>2191</v>
      </c>
      <c r="G52" s="8">
        <v>44.3</v>
      </c>
    </row>
    <row r="53" spans="1:8" x14ac:dyDescent="0.25">
      <c r="A53" s="5">
        <v>40544</v>
      </c>
      <c r="B53" s="6">
        <f t="shared" si="0"/>
        <v>2011</v>
      </c>
      <c r="C53" s="7">
        <v>95.37</v>
      </c>
      <c r="D53" s="7">
        <v>89.47</v>
      </c>
      <c r="E53" s="7">
        <v>78.45</v>
      </c>
      <c r="F53" s="7">
        <v>2326.65</v>
      </c>
      <c r="G53" s="8">
        <v>44.52</v>
      </c>
      <c r="H53" s="4"/>
    </row>
    <row r="54" spans="1:8" x14ac:dyDescent="0.25">
      <c r="A54" s="5">
        <v>40575</v>
      </c>
      <c r="B54" s="6">
        <f t="shared" si="0"/>
        <v>2011</v>
      </c>
      <c r="C54" s="7">
        <v>98.97</v>
      </c>
      <c r="D54" s="7">
        <v>92.47</v>
      </c>
      <c r="E54" s="7">
        <v>80.47</v>
      </c>
      <c r="F54" s="7">
        <v>2303.0100000000002</v>
      </c>
      <c r="G54" s="8">
        <v>44.93</v>
      </c>
      <c r="H54" s="4"/>
    </row>
    <row r="55" spans="1:8" x14ac:dyDescent="0.25">
      <c r="A55" s="5">
        <v>40603</v>
      </c>
      <c r="B55" s="6">
        <f t="shared" si="0"/>
        <v>2011</v>
      </c>
      <c r="C55" s="7">
        <v>103.32</v>
      </c>
      <c r="D55" s="7">
        <v>95.27</v>
      </c>
      <c r="E55" s="7">
        <v>84.92</v>
      </c>
      <c r="F55" s="7">
        <v>2308.56</v>
      </c>
      <c r="G55" s="8">
        <v>45.5</v>
      </c>
      <c r="H55" s="4"/>
    </row>
    <row r="56" spans="1:8" x14ac:dyDescent="0.25">
      <c r="A56" s="5">
        <v>40634</v>
      </c>
      <c r="B56" s="6">
        <f t="shared" si="0"/>
        <v>2011</v>
      </c>
      <c r="C56" s="7">
        <v>112.1</v>
      </c>
      <c r="D56" s="7">
        <v>108.29</v>
      </c>
      <c r="E56" s="7">
        <v>91.91</v>
      </c>
      <c r="F56" s="7">
        <v>2345.41</v>
      </c>
      <c r="G56" s="8">
        <v>46.92</v>
      </c>
      <c r="H56" s="4"/>
    </row>
    <row r="57" spans="1:8" x14ac:dyDescent="0.25">
      <c r="A57" s="5">
        <v>40664</v>
      </c>
      <c r="B57" s="6">
        <f t="shared" si="0"/>
        <v>2011</v>
      </c>
      <c r="C57" s="7">
        <v>116.31</v>
      </c>
      <c r="D57" s="7">
        <v>108.98</v>
      </c>
      <c r="E57" s="7">
        <v>93.57</v>
      </c>
      <c r="F57" s="7">
        <v>2342.73</v>
      </c>
      <c r="G57" s="8">
        <v>48.71</v>
      </c>
      <c r="H57" s="4"/>
    </row>
    <row r="58" spans="1:8" x14ac:dyDescent="0.25">
      <c r="A58" s="5">
        <v>40695</v>
      </c>
      <c r="B58" s="6">
        <f t="shared" si="0"/>
        <v>2011</v>
      </c>
      <c r="C58" s="7">
        <v>115.87</v>
      </c>
      <c r="D58" s="7">
        <v>107.26</v>
      </c>
      <c r="E58" s="7">
        <v>86.66</v>
      </c>
      <c r="F58" s="7">
        <v>2328.67</v>
      </c>
      <c r="G58" s="8">
        <v>49.12</v>
      </c>
      <c r="H58" s="4"/>
    </row>
    <row r="59" spans="1:8" x14ac:dyDescent="0.25">
      <c r="A59" s="5">
        <v>40725</v>
      </c>
      <c r="B59" s="6">
        <f t="shared" si="0"/>
        <v>2011</v>
      </c>
      <c r="C59" s="7">
        <v>116.34</v>
      </c>
      <c r="D59" s="7">
        <v>107.08</v>
      </c>
      <c r="E59" s="7">
        <v>87.11</v>
      </c>
      <c r="F59" s="7">
        <v>2360.42</v>
      </c>
      <c r="G59" s="8">
        <v>49.99</v>
      </c>
      <c r="H59" s="4"/>
    </row>
    <row r="60" spans="1:8" x14ac:dyDescent="0.25">
      <c r="A60" s="5">
        <v>40756</v>
      </c>
      <c r="B60" s="6">
        <f t="shared" si="0"/>
        <v>2011</v>
      </c>
      <c r="C60" s="7">
        <v>118.03</v>
      </c>
      <c r="D60" s="7">
        <v>109.81</v>
      </c>
      <c r="E60" s="7">
        <v>89.81</v>
      </c>
      <c r="F60" s="7">
        <v>2372.35</v>
      </c>
      <c r="G60" s="8">
        <v>50.43</v>
      </c>
      <c r="H60" s="4"/>
    </row>
    <row r="61" spans="1:8" x14ac:dyDescent="0.25">
      <c r="A61" s="5">
        <v>40787</v>
      </c>
      <c r="B61" s="6">
        <f t="shared" si="0"/>
        <v>2011</v>
      </c>
      <c r="C61" s="7">
        <v>118.42</v>
      </c>
      <c r="D61" s="7">
        <v>109.01</v>
      </c>
      <c r="E61" s="7">
        <v>89.14</v>
      </c>
      <c r="F61" s="7">
        <v>2451.66</v>
      </c>
      <c r="G61" s="8">
        <v>51.72</v>
      </c>
      <c r="H61" s="4"/>
    </row>
    <row r="62" spans="1:8" x14ac:dyDescent="0.25">
      <c r="A62" s="5">
        <v>40817</v>
      </c>
      <c r="B62" s="6">
        <f t="shared" si="0"/>
        <v>2011</v>
      </c>
      <c r="C62" s="7">
        <v>121.3</v>
      </c>
      <c r="D62" s="7">
        <v>111.77</v>
      </c>
      <c r="E62" s="7">
        <v>90.79</v>
      </c>
      <c r="F62" s="7">
        <v>2599.56</v>
      </c>
      <c r="G62" s="8">
        <v>51.54</v>
      </c>
      <c r="H62" s="4"/>
    </row>
    <row r="63" spans="1:8" x14ac:dyDescent="0.25">
      <c r="A63" s="5">
        <v>40848</v>
      </c>
      <c r="B63" s="6">
        <f t="shared" si="0"/>
        <v>2011</v>
      </c>
      <c r="C63" s="7">
        <v>124.85</v>
      </c>
      <c r="D63" s="7">
        <v>115.13</v>
      </c>
      <c r="E63" s="7">
        <v>95.71</v>
      </c>
      <c r="F63" s="7">
        <v>2781.73</v>
      </c>
      <c r="G63" s="8">
        <v>53.77</v>
      </c>
      <c r="H63" s="4"/>
    </row>
    <row r="64" spans="1:8" x14ac:dyDescent="0.25">
      <c r="A64" s="5">
        <v>40878</v>
      </c>
      <c r="B64" s="6">
        <f t="shared" si="0"/>
        <v>2011</v>
      </c>
      <c r="C64" s="7">
        <v>113.39</v>
      </c>
      <c r="D64" s="7">
        <v>105.53</v>
      </c>
      <c r="E64" s="7">
        <v>88.34</v>
      </c>
      <c r="F64" s="7">
        <v>2510.5500000000002</v>
      </c>
      <c r="G64" s="8">
        <v>49.42</v>
      </c>
      <c r="H64" s="4"/>
    </row>
    <row r="65" spans="1:8" x14ac:dyDescent="0.25">
      <c r="A65" s="5">
        <v>40909</v>
      </c>
      <c r="B65" s="6">
        <f t="shared" si="0"/>
        <v>2012</v>
      </c>
      <c r="C65" s="7">
        <v>112.7</v>
      </c>
      <c r="D65" s="7">
        <v>108.74</v>
      </c>
      <c r="E65" s="7">
        <v>87.96</v>
      </c>
      <c r="F65" s="7">
        <v>3149.63</v>
      </c>
      <c r="G65" s="8">
        <v>60.53</v>
      </c>
      <c r="H65" s="4"/>
    </row>
    <row r="66" spans="1:8" x14ac:dyDescent="0.25">
      <c r="A66" s="5">
        <v>40940</v>
      </c>
      <c r="B66" s="6">
        <f t="shared" si="0"/>
        <v>2012</v>
      </c>
      <c r="C66" s="7">
        <v>112.07</v>
      </c>
      <c r="D66" s="7">
        <v>106.13</v>
      </c>
      <c r="E66" s="7">
        <v>84.6</v>
      </c>
      <c r="F66" s="7">
        <v>2971.82</v>
      </c>
      <c r="G66" s="8">
        <v>59.75</v>
      </c>
      <c r="H66" s="4"/>
    </row>
    <row r="67" spans="1:8" x14ac:dyDescent="0.25">
      <c r="A67" s="5">
        <v>40969</v>
      </c>
      <c r="B67" s="6">
        <f t="shared" si="0"/>
        <v>2012</v>
      </c>
      <c r="C67" s="7">
        <v>112.44</v>
      </c>
      <c r="D67" s="7">
        <v>105.97</v>
      </c>
      <c r="E67" s="7">
        <v>84.99</v>
      </c>
      <c r="F67" s="7">
        <v>2882.5</v>
      </c>
      <c r="G67" s="8">
        <v>59.6</v>
      </c>
      <c r="H67" s="4"/>
    </row>
    <row r="68" spans="1:8" x14ac:dyDescent="0.25">
      <c r="A68" s="5">
        <v>41000</v>
      </c>
      <c r="B68" s="6">
        <f t="shared" si="0"/>
        <v>2012</v>
      </c>
      <c r="C68" s="7">
        <v>119.23</v>
      </c>
      <c r="D68" s="7">
        <v>109.64</v>
      </c>
      <c r="E68" s="7">
        <v>87.13</v>
      </c>
      <c r="F68" s="7">
        <v>2824.5</v>
      </c>
      <c r="G68" s="8">
        <v>61.4</v>
      </c>
      <c r="H68" s="4"/>
    </row>
    <row r="69" spans="1:8" x14ac:dyDescent="0.25">
      <c r="A69" s="5">
        <v>41030</v>
      </c>
      <c r="B69" s="6">
        <f t="shared" si="0"/>
        <v>2012</v>
      </c>
      <c r="C69" s="7">
        <v>121.89</v>
      </c>
      <c r="D69" s="7">
        <v>109.28</v>
      </c>
      <c r="E69" s="7">
        <v>87.83</v>
      </c>
      <c r="F69" s="7">
        <v>2813.01</v>
      </c>
      <c r="G69" s="8">
        <v>62.42</v>
      </c>
      <c r="H69" s="4"/>
    </row>
    <row r="70" spans="1:8" x14ac:dyDescent="0.25">
      <c r="A70" s="5">
        <v>41061</v>
      </c>
      <c r="B70" s="6">
        <f t="shared" ref="B70:B133" si="1">YEAR(A70)</f>
        <v>2012</v>
      </c>
      <c r="C70" s="7">
        <v>118.4</v>
      </c>
      <c r="D70" s="7">
        <v>106.33</v>
      </c>
      <c r="E70" s="7">
        <v>84.05</v>
      </c>
      <c r="F70" s="7">
        <v>2772.94</v>
      </c>
      <c r="G70" s="8">
        <v>63.21</v>
      </c>
      <c r="H70" s="4"/>
    </row>
    <row r="71" spans="1:8" x14ac:dyDescent="0.25">
      <c r="A71" s="5">
        <v>41091</v>
      </c>
      <c r="B71" s="6">
        <f t="shared" si="1"/>
        <v>2012</v>
      </c>
      <c r="C71" s="7">
        <v>109.22</v>
      </c>
      <c r="D71" s="7">
        <v>98.35</v>
      </c>
      <c r="E71" s="7">
        <v>75.27</v>
      </c>
      <c r="F71" s="7">
        <v>2696.8</v>
      </c>
      <c r="G71" s="8">
        <v>62.66</v>
      </c>
      <c r="H71" s="4"/>
    </row>
    <row r="72" spans="1:8" x14ac:dyDescent="0.25">
      <c r="A72" s="5">
        <v>41122</v>
      </c>
      <c r="B72" s="6">
        <f t="shared" si="1"/>
        <v>2012</v>
      </c>
      <c r="C72" s="7">
        <v>107.25</v>
      </c>
      <c r="D72" s="7">
        <v>97.94</v>
      </c>
      <c r="E72" s="7">
        <v>74.84</v>
      </c>
      <c r="F72" s="7">
        <v>2633.16</v>
      </c>
      <c r="G72" s="8">
        <v>62.46</v>
      </c>
      <c r="H72" s="4"/>
    </row>
    <row r="73" spans="1:8" x14ac:dyDescent="0.25">
      <c r="A73" s="5">
        <v>41153</v>
      </c>
      <c r="B73" s="6">
        <f t="shared" si="1"/>
        <v>2012</v>
      </c>
      <c r="C73" s="7">
        <v>109.7</v>
      </c>
      <c r="D73" s="7">
        <v>101.92</v>
      </c>
      <c r="E73" s="7">
        <v>80.510000000000005</v>
      </c>
      <c r="F73" s="7">
        <v>2628.06</v>
      </c>
      <c r="G73" s="8">
        <v>63.34</v>
      </c>
      <c r="H73" s="4"/>
    </row>
    <row r="74" spans="1:8" x14ac:dyDescent="0.25">
      <c r="A74" s="5">
        <v>41183</v>
      </c>
      <c r="B74" s="6">
        <f t="shared" si="1"/>
        <v>2012</v>
      </c>
      <c r="C74" s="7">
        <v>116</v>
      </c>
      <c r="D74" s="7">
        <v>106.95</v>
      </c>
      <c r="E74" s="7">
        <v>86.88</v>
      </c>
      <c r="F74" s="7">
        <v>2636.93</v>
      </c>
      <c r="G74" s="8">
        <v>64.09</v>
      </c>
      <c r="H74" s="4"/>
    </row>
    <row r="75" spans="1:8" x14ac:dyDescent="0.25">
      <c r="A75" s="5">
        <v>41214</v>
      </c>
      <c r="B75" s="6">
        <f t="shared" si="1"/>
        <v>2012</v>
      </c>
      <c r="C75" s="7">
        <v>114.42</v>
      </c>
      <c r="D75" s="7">
        <v>106.7</v>
      </c>
      <c r="E75" s="7">
        <v>85.72</v>
      </c>
      <c r="F75" s="7">
        <v>2617.02</v>
      </c>
      <c r="G75" s="8">
        <v>65.91</v>
      </c>
      <c r="H75" s="4"/>
    </row>
    <row r="76" spans="1:8" x14ac:dyDescent="0.25">
      <c r="A76" s="5">
        <v>41244</v>
      </c>
      <c r="B76" s="6">
        <f t="shared" si="1"/>
        <v>2012</v>
      </c>
      <c r="C76" s="7">
        <v>113.35</v>
      </c>
      <c r="D76" s="7">
        <v>106.64</v>
      </c>
      <c r="E76" s="7">
        <v>87.29</v>
      </c>
      <c r="F76" s="7">
        <v>2604.5500000000002</v>
      </c>
      <c r="G76" s="8">
        <v>66.42</v>
      </c>
      <c r="H76" s="4"/>
    </row>
    <row r="77" spans="1:8" x14ac:dyDescent="0.25">
      <c r="A77" s="5">
        <v>41275</v>
      </c>
      <c r="B77" s="6">
        <f t="shared" si="1"/>
        <v>2013</v>
      </c>
      <c r="C77" s="7">
        <v>112.35</v>
      </c>
      <c r="D77" s="7">
        <v>104.83</v>
      </c>
      <c r="E77" s="7">
        <v>84.71</v>
      </c>
      <c r="F77" s="7">
        <v>2630.73</v>
      </c>
      <c r="G77" s="8">
        <v>66.44</v>
      </c>
    </row>
    <row r="78" spans="1:8" x14ac:dyDescent="0.25">
      <c r="A78" s="5">
        <v>41306</v>
      </c>
      <c r="B78" s="6">
        <f t="shared" si="1"/>
        <v>2013</v>
      </c>
      <c r="C78" s="7">
        <v>114.32</v>
      </c>
      <c r="D78" s="7">
        <v>107.04</v>
      </c>
      <c r="E78" s="7">
        <v>86.78</v>
      </c>
      <c r="F78" s="7">
        <v>2643.04</v>
      </c>
      <c r="G78" s="8">
        <v>66.91</v>
      </c>
    </row>
    <row r="79" spans="1:8" x14ac:dyDescent="0.25">
      <c r="A79" s="5">
        <v>41334</v>
      </c>
      <c r="B79" s="6">
        <f t="shared" si="1"/>
        <v>2013</v>
      </c>
      <c r="C79" s="7">
        <v>118.41</v>
      </c>
      <c r="D79" s="7">
        <v>108.21</v>
      </c>
      <c r="E79" s="7">
        <v>89.39</v>
      </c>
      <c r="F79" s="7">
        <v>2662.61</v>
      </c>
      <c r="G79" s="8">
        <v>67.290000000000006</v>
      </c>
    </row>
    <row r="80" spans="1:8" x14ac:dyDescent="0.25">
      <c r="A80" s="5">
        <v>41365</v>
      </c>
      <c r="B80" s="6">
        <f t="shared" si="1"/>
        <v>2013</v>
      </c>
      <c r="C80" s="7">
        <v>118.38</v>
      </c>
      <c r="D80" s="7">
        <v>107.29</v>
      </c>
      <c r="E80" s="7">
        <v>84.68</v>
      </c>
      <c r="F80" s="7">
        <v>2626.37</v>
      </c>
      <c r="G80" s="8">
        <v>69.86</v>
      </c>
    </row>
    <row r="81" spans="1:7" x14ac:dyDescent="0.25">
      <c r="A81" s="5">
        <v>41395</v>
      </c>
      <c r="B81" s="6">
        <f t="shared" si="1"/>
        <v>2013</v>
      </c>
      <c r="C81" s="7">
        <v>113.99</v>
      </c>
      <c r="D81" s="7">
        <v>101.91</v>
      </c>
      <c r="E81" s="7">
        <v>80.319999999999993</v>
      </c>
      <c r="F81" s="7">
        <v>2592.85</v>
      </c>
      <c r="G81" s="8">
        <v>70.55</v>
      </c>
    </row>
    <row r="82" spans="1:7" x14ac:dyDescent="0.25">
      <c r="A82" s="5">
        <v>41426</v>
      </c>
      <c r="B82" s="6">
        <f t="shared" si="1"/>
        <v>2013</v>
      </c>
      <c r="C82" s="7">
        <v>108.93</v>
      </c>
      <c r="D82" s="7">
        <v>100.01</v>
      </c>
      <c r="E82" s="7">
        <v>82.38</v>
      </c>
      <c r="F82" s="7">
        <v>2573.75</v>
      </c>
      <c r="G82" s="8">
        <v>70.44</v>
      </c>
    </row>
    <row r="83" spans="1:7" x14ac:dyDescent="0.25">
      <c r="A83" s="5">
        <v>41456</v>
      </c>
      <c r="B83" s="6">
        <f t="shared" si="1"/>
        <v>2013</v>
      </c>
      <c r="C83" s="7">
        <v>109.93</v>
      </c>
      <c r="D83" s="7">
        <v>102.21</v>
      </c>
      <c r="E83" s="7">
        <v>80.36</v>
      </c>
      <c r="F83" s="7">
        <v>2564.79</v>
      </c>
      <c r="G83" s="8">
        <v>71.150000000000006</v>
      </c>
    </row>
    <row r="84" spans="1:7" x14ac:dyDescent="0.25">
      <c r="A84" s="5">
        <v>41487</v>
      </c>
      <c r="B84" s="6">
        <f t="shared" si="1"/>
        <v>2013</v>
      </c>
      <c r="C84" s="7">
        <v>113.01</v>
      </c>
      <c r="D84" s="7">
        <v>105.29</v>
      </c>
      <c r="E84" s="7">
        <v>84.79</v>
      </c>
      <c r="F84" s="7">
        <v>2575.9299999999998</v>
      </c>
      <c r="G84" s="8">
        <v>71.680000000000007</v>
      </c>
    </row>
    <row r="85" spans="1:7" x14ac:dyDescent="0.25">
      <c r="A85" s="5">
        <v>41518</v>
      </c>
      <c r="B85" s="6">
        <f t="shared" si="1"/>
        <v>2013</v>
      </c>
      <c r="C85" s="7">
        <v>114.69</v>
      </c>
      <c r="D85" s="7">
        <v>106.47</v>
      </c>
      <c r="E85" s="7">
        <v>86.47</v>
      </c>
      <c r="F85" s="7">
        <v>2836.67</v>
      </c>
      <c r="G85" s="8">
        <v>70.97</v>
      </c>
    </row>
    <row r="86" spans="1:7" x14ac:dyDescent="0.25">
      <c r="A86" s="5">
        <v>41548</v>
      </c>
      <c r="B86" s="6">
        <f t="shared" si="1"/>
        <v>2013</v>
      </c>
      <c r="C86" s="7">
        <v>113.09</v>
      </c>
      <c r="D86" s="7">
        <v>105.39</v>
      </c>
      <c r="E86" s="7">
        <v>85.92</v>
      </c>
      <c r="F86" s="7">
        <v>2835.2</v>
      </c>
      <c r="G86" s="8">
        <v>70.540000000000006</v>
      </c>
    </row>
    <row r="87" spans="1:7" x14ac:dyDescent="0.25">
      <c r="A87" s="5">
        <v>41579</v>
      </c>
      <c r="B87" s="6">
        <f t="shared" si="1"/>
        <v>2013</v>
      </c>
      <c r="C87" s="7">
        <v>109.17</v>
      </c>
      <c r="D87" s="7">
        <v>104.17</v>
      </c>
      <c r="E87" s="7">
        <v>83.71</v>
      </c>
      <c r="F87" s="7">
        <v>2846.06</v>
      </c>
      <c r="G87" s="8">
        <v>70.540000000000006</v>
      </c>
    </row>
    <row r="88" spans="1:7" x14ac:dyDescent="0.25">
      <c r="A88" s="5">
        <v>41609</v>
      </c>
      <c r="B88" s="6">
        <f t="shared" si="1"/>
        <v>2013</v>
      </c>
      <c r="C88" s="7">
        <v>110.11</v>
      </c>
      <c r="D88" s="7">
        <v>105.44</v>
      </c>
      <c r="E88" s="7">
        <v>83.99</v>
      </c>
      <c r="F88" s="7">
        <v>2876</v>
      </c>
      <c r="G88" s="8">
        <v>72.8</v>
      </c>
    </row>
    <row r="89" spans="1:7" x14ac:dyDescent="0.25">
      <c r="A89" s="5">
        <v>41640</v>
      </c>
      <c r="B89" s="6">
        <f t="shared" si="1"/>
        <v>2014</v>
      </c>
      <c r="C89" s="7">
        <v>111.41</v>
      </c>
      <c r="D89" s="7">
        <v>105.65</v>
      </c>
      <c r="E89" s="7">
        <v>85.98</v>
      </c>
      <c r="F89" s="7">
        <v>2995.22</v>
      </c>
      <c r="G89" s="8">
        <v>73.47</v>
      </c>
    </row>
    <row r="90" spans="1:7" x14ac:dyDescent="0.25">
      <c r="A90" s="5">
        <v>41671</v>
      </c>
      <c r="B90" s="6">
        <f t="shared" si="1"/>
        <v>2014</v>
      </c>
      <c r="C90" s="7">
        <v>112.37</v>
      </c>
      <c r="D90" s="7">
        <v>106.72</v>
      </c>
      <c r="E90" s="7">
        <v>83.99</v>
      </c>
      <c r="F90" s="7">
        <v>3027.03</v>
      </c>
      <c r="G90" s="8">
        <v>73.77</v>
      </c>
    </row>
    <row r="91" spans="1:7" x14ac:dyDescent="0.25">
      <c r="A91" s="5">
        <v>41699</v>
      </c>
      <c r="B91" s="6">
        <f t="shared" si="1"/>
        <v>2014</v>
      </c>
      <c r="C91" s="7">
        <v>114.43</v>
      </c>
      <c r="D91" s="7">
        <v>105.79</v>
      </c>
      <c r="E91" s="7">
        <v>84.82</v>
      </c>
      <c r="F91" s="7">
        <v>3094.16</v>
      </c>
      <c r="G91" s="8">
        <v>72.86</v>
      </c>
    </row>
    <row r="92" spans="1:7" x14ac:dyDescent="0.25">
      <c r="A92" s="5">
        <v>41730</v>
      </c>
      <c r="B92" s="6">
        <f t="shared" si="1"/>
        <v>2014</v>
      </c>
      <c r="C92" s="7">
        <v>114.98</v>
      </c>
      <c r="D92" s="7">
        <v>104.74</v>
      </c>
      <c r="E92" s="7">
        <v>84.08</v>
      </c>
      <c r="F92" s="7">
        <v>3098.25</v>
      </c>
      <c r="G92" s="8">
        <v>72.989999999999995</v>
      </c>
    </row>
    <row r="93" spans="1:7" x14ac:dyDescent="0.25">
      <c r="A93" s="5">
        <v>41760</v>
      </c>
      <c r="B93" s="6">
        <f t="shared" si="1"/>
        <v>2014</v>
      </c>
      <c r="C93" s="7">
        <v>115.55</v>
      </c>
      <c r="D93" s="7">
        <v>105.63</v>
      </c>
      <c r="E93" s="7">
        <v>83.73</v>
      </c>
      <c r="F93" s="7">
        <v>3075.06</v>
      </c>
      <c r="G93" s="8">
        <v>73.27</v>
      </c>
    </row>
    <row r="94" spans="1:7" x14ac:dyDescent="0.25">
      <c r="A94" s="5">
        <v>41791</v>
      </c>
      <c r="B94" s="6">
        <f t="shared" si="1"/>
        <v>2014</v>
      </c>
      <c r="C94" s="7">
        <v>115.43</v>
      </c>
      <c r="D94" s="7">
        <v>105.73</v>
      </c>
      <c r="E94" s="7">
        <v>84.04</v>
      </c>
      <c r="F94" s="7">
        <v>3074.57</v>
      </c>
      <c r="G94" s="8">
        <v>73.34</v>
      </c>
    </row>
    <row r="95" spans="1:7" x14ac:dyDescent="0.25">
      <c r="A95" s="5">
        <v>41821</v>
      </c>
      <c r="B95" s="6">
        <f t="shared" si="1"/>
        <v>2014</v>
      </c>
      <c r="C95" s="7">
        <v>116.67</v>
      </c>
      <c r="D95" s="7">
        <v>105.59</v>
      </c>
      <c r="E95" s="7">
        <v>85.03</v>
      </c>
      <c r="F95" s="7">
        <v>3042.8</v>
      </c>
      <c r="G95" s="8">
        <v>73.11</v>
      </c>
    </row>
    <row r="96" spans="1:7" x14ac:dyDescent="0.25">
      <c r="A96" s="5">
        <v>41852</v>
      </c>
      <c r="B96" s="6">
        <f t="shared" si="1"/>
        <v>2014</v>
      </c>
      <c r="C96" s="7">
        <v>117.43</v>
      </c>
      <c r="D96" s="7">
        <v>103.9</v>
      </c>
      <c r="E96" s="7">
        <v>83.97</v>
      </c>
      <c r="F96" s="7">
        <v>3109.67</v>
      </c>
      <c r="G96" s="8">
        <v>73.52</v>
      </c>
    </row>
    <row r="97" spans="1:7" x14ac:dyDescent="0.25">
      <c r="A97" s="5">
        <v>41883</v>
      </c>
      <c r="B97" s="6">
        <f t="shared" si="1"/>
        <v>2014</v>
      </c>
      <c r="C97" s="7">
        <v>112.46</v>
      </c>
      <c r="D97" s="7">
        <v>103.28</v>
      </c>
      <c r="E97" s="7">
        <v>82.55</v>
      </c>
      <c r="F97" s="7">
        <v>3111.74</v>
      </c>
      <c r="G97" s="8">
        <v>73.39</v>
      </c>
    </row>
    <row r="98" spans="1:7" x14ac:dyDescent="0.25">
      <c r="A98" s="5">
        <v>41913</v>
      </c>
      <c r="B98" s="6">
        <f t="shared" si="1"/>
        <v>2014</v>
      </c>
      <c r="C98" s="7">
        <v>111.72</v>
      </c>
      <c r="D98" s="7">
        <v>101.59</v>
      </c>
      <c r="E98" s="7">
        <v>81.81</v>
      </c>
      <c r="F98" s="7">
        <v>3068.58</v>
      </c>
      <c r="G98" s="8">
        <v>73.47</v>
      </c>
    </row>
    <row r="99" spans="1:7" x14ac:dyDescent="0.25">
      <c r="A99" s="5">
        <v>41944</v>
      </c>
      <c r="B99" s="6">
        <f t="shared" si="1"/>
        <v>2014</v>
      </c>
      <c r="C99" s="7">
        <v>107.64</v>
      </c>
      <c r="D99" s="7">
        <v>95.45</v>
      </c>
      <c r="E99" s="7">
        <v>77.239999999999995</v>
      </c>
      <c r="F99" s="7">
        <v>3033.28</v>
      </c>
      <c r="G99" s="8">
        <v>73.650000000000006</v>
      </c>
    </row>
    <row r="100" spans="1:7" x14ac:dyDescent="0.25">
      <c r="A100" s="5">
        <v>41974</v>
      </c>
      <c r="B100" s="6">
        <f t="shared" si="1"/>
        <v>2014</v>
      </c>
      <c r="C100" s="7">
        <v>102.86</v>
      </c>
      <c r="D100" s="7">
        <v>91.79</v>
      </c>
      <c r="E100" s="7">
        <v>72.3</v>
      </c>
      <c r="F100" s="7">
        <v>3018.45</v>
      </c>
      <c r="G100" s="8">
        <v>73.59</v>
      </c>
    </row>
    <row r="101" spans="1:7" x14ac:dyDescent="0.25">
      <c r="A101" s="5">
        <v>42005</v>
      </c>
      <c r="B101" s="6">
        <f t="shared" si="1"/>
        <v>2015</v>
      </c>
      <c r="C101" s="7">
        <v>93.75</v>
      </c>
      <c r="D101" s="7">
        <v>84.3</v>
      </c>
      <c r="E101" s="7">
        <v>66.53</v>
      </c>
      <c r="F101" s="7">
        <v>2954.36</v>
      </c>
      <c r="G101" s="8">
        <v>73.25</v>
      </c>
    </row>
    <row r="102" spans="1:7" x14ac:dyDescent="0.25">
      <c r="A102" s="5">
        <v>42036</v>
      </c>
      <c r="B102" s="6">
        <f t="shared" si="1"/>
        <v>2015</v>
      </c>
      <c r="C102" s="7">
        <v>85.6</v>
      </c>
      <c r="D102" s="7">
        <v>76.489999999999995</v>
      </c>
      <c r="E102" s="7">
        <v>53.37</v>
      </c>
      <c r="F102" s="7">
        <v>2846.53</v>
      </c>
      <c r="G102" s="8">
        <v>73.06</v>
      </c>
    </row>
    <row r="103" spans="1:7" x14ac:dyDescent="0.25">
      <c r="A103" s="5">
        <v>42064</v>
      </c>
      <c r="B103" s="6">
        <f t="shared" si="1"/>
        <v>2015</v>
      </c>
      <c r="C103" s="7">
        <v>90.34</v>
      </c>
      <c r="D103" s="7">
        <v>77.16</v>
      </c>
      <c r="E103" s="7">
        <v>56.71</v>
      </c>
      <c r="F103" s="7">
        <v>2629.56</v>
      </c>
      <c r="G103" s="8">
        <v>73.39</v>
      </c>
    </row>
    <row r="104" spans="1:7" x14ac:dyDescent="0.25">
      <c r="A104" s="5">
        <v>42095</v>
      </c>
      <c r="B104" s="6">
        <f t="shared" si="1"/>
        <v>2015</v>
      </c>
      <c r="C104" s="7">
        <v>90.22</v>
      </c>
      <c r="D104" s="7">
        <v>78.44</v>
      </c>
      <c r="E104" s="7">
        <v>58.17</v>
      </c>
      <c r="F104" s="7">
        <v>2529.56</v>
      </c>
      <c r="G104" s="8">
        <v>74.66</v>
      </c>
    </row>
    <row r="105" spans="1:7" x14ac:dyDescent="0.25">
      <c r="A105" s="5">
        <v>42125</v>
      </c>
      <c r="B105" s="6">
        <f t="shared" si="1"/>
        <v>2015</v>
      </c>
      <c r="C105" s="7">
        <v>93.76</v>
      </c>
      <c r="D105" s="7">
        <v>80.3</v>
      </c>
      <c r="E105" s="7">
        <v>60.2</v>
      </c>
      <c r="F105" s="7">
        <v>2424.69</v>
      </c>
      <c r="G105" s="8">
        <v>75.540000000000006</v>
      </c>
    </row>
    <row r="106" spans="1:7" x14ac:dyDescent="0.25">
      <c r="A106" s="5">
        <v>42156</v>
      </c>
      <c r="B106" s="6">
        <f t="shared" si="1"/>
        <v>2015</v>
      </c>
      <c r="C106" s="7">
        <v>98.14</v>
      </c>
      <c r="D106" s="7">
        <v>84.26</v>
      </c>
      <c r="E106" s="7">
        <v>62.73</v>
      </c>
      <c r="F106" s="7">
        <v>2387.04</v>
      </c>
      <c r="G106" s="8">
        <v>76.349999999999994</v>
      </c>
    </row>
    <row r="107" spans="1:7" x14ac:dyDescent="0.25">
      <c r="A107" s="5">
        <v>42186</v>
      </c>
      <c r="B107" s="6">
        <f t="shared" si="1"/>
        <v>2015</v>
      </c>
      <c r="C107" s="7">
        <v>99.45</v>
      </c>
      <c r="D107" s="7">
        <v>85.51</v>
      </c>
      <c r="E107" s="7">
        <v>63.69</v>
      </c>
      <c r="F107" s="7">
        <v>2376.2199999999998</v>
      </c>
      <c r="G107" s="8">
        <v>77.53</v>
      </c>
    </row>
    <row r="108" spans="1:7" x14ac:dyDescent="0.25">
      <c r="A108" s="5">
        <v>42217</v>
      </c>
      <c r="B108" s="6">
        <f t="shared" si="1"/>
        <v>2015</v>
      </c>
      <c r="C108" s="7">
        <v>103.5</v>
      </c>
      <c r="D108" s="7">
        <v>84.3</v>
      </c>
      <c r="E108" s="7">
        <v>58.94</v>
      </c>
      <c r="F108" s="7">
        <v>2374.92</v>
      </c>
      <c r="G108" s="8">
        <v>77.56</v>
      </c>
    </row>
    <row r="109" spans="1:7" x14ac:dyDescent="0.25">
      <c r="A109" s="5">
        <v>42248</v>
      </c>
      <c r="B109" s="6">
        <f t="shared" si="1"/>
        <v>2015</v>
      </c>
      <c r="C109" s="7">
        <v>103.49</v>
      </c>
      <c r="D109" s="7">
        <v>80.94</v>
      </c>
      <c r="E109" s="7">
        <v>53.52</v>
      </c>
      <c r="F109" s="7">
        <v>2393.85</v>
      </c>
      <c r="G109" s="8">
        <v>77.5</v>
      </c>
    </row>
    <row r="110" spans="1:7" x14ac:dyDescent="0.25">
      <c r="A110" s="5">
        <v>42278</v>
      </c>
      <c r="B110" s="6">
        <f t="shared" si="1"/>
        <v>2015</v>
      </c>
      <c r="C110" s="7">
        <v>94.16</v>
      </c>
      <c r="D110" s="7">
        <v>83.38</v>
      </c>
      <c r="E110" s="7">
        <v>57</v>
      </c>
      <c r="F110" s="7">
        <v>2401.31</v>
      </c>
      <c r="G110" s="8">
        <v>77.650000000000006</v>
      </c>
    </row>
    <row r="111" spans="1:7" x14ac:dyDescent="0.25">
      <c r="A111" s="5">
        <v>42309</v>
      </c>
      <c r="B111" s="6">
        <f t="shared" si="1"/>
        <v>2015</v>
      </c>
      <c r="C111" s="7">
        <v>91.34</v>
      </c>
      <c r="D111" s="7">
        <v>80.61</v>
      </c>
      <c r="E111" s="7">
        <v>55.77</v>
      </c>
      <c r="F111" s="7">
        <v>2386.66</v>
      </c>
      <c r="G111" s="8">
        <v>78.13</v>
      </c>
    </row>
    <row r="112" spans="1:7" x14ac:dyDescent="0.25">
      <c r="A112" s="5">
        <v>42339</v>
      </c>
      <c r="B112" s="6">
        <f t="shared" si="1"/>
        <v>2015</v>
      </c>
      <c r="C112" s="7">
        <v>90.94</v>
      </c>
      <c r="D112" s="7">
        <v>79.47</v>
      </c>
      <c r="E112" s="7">
        <v>54.23</v>
      </c>
      <c r="F112" s="7">
        <v>2369.46</v>
      </c>
      <c r="G112" s="8">
        <v>78.42</v>
      </c>
    </row>
    <row r="113" spans="1:7" x14ac:dyDescent="0.25">
      <c r="A113" s="5">
        <v>42370</v>
      </c>
      <c r="B113" s="6">
        <f t="shared" si="1"/>
        <v>2016</v>
      </c>
      <c r="C113" s="7">
        <v>89.52</v>
      </c>
      <c r="D113" s="7">
        <v>77.66</v>
      </c>
      <c r="E113" s="7">
        <v>47.11</v>
      </c>
      <c r="F113" s="10">
        <v>2343.86</v>
      </c>
      <c r="G113" s="11">
        <v>78.819999999999993</v>
      </c>
    </row>
    <row r="114" spans="1:7" x14ac:dyDescent="0.25">
      <c r="A114" s="5">
        <v>42401</v>
      </c>
      <c r="B114" s="6">
        <f t="shared" si="1"/>
        <v>2016</v>
      </c>
      <c r="C114" s="7">
        <v>87.38</v>
      </c>
      <c r="D114" s="7">
        <v>68.849999999999994</v>
      </c>
      <c r="E114" s="9">
        <v>40.6</v>
      </c>
      <c r="F114" s="10">
        <v>2318.0300000000002</v>
      </c>
      <c r="G114" s="11">
        <v>78.64</v>
      </c>
    </row>
    <row r="115" spans="1:7" x14ac:dyDescent="0.25">
      <c r="A115" s="5">
        <v>42430</v>
      </c>
      <c r="B115" s="6">
        <f t="shared" si="1"/>
        <v>2016</v>
      </c>
      <c r="C115" s="7">
        <v>86.46</v>
      </c>
      <c r="D115" s="7">
        <v>66.680000000000007</v>
      </c>
      <c r="E115" s="9">
        <v>43.13</v>
      </c>
      <c r="F115" s="10">
        <v>2277.48</v>
      </c>
      <c r="G115" s="11">
        <v>78.069999999999993</v>
      </c>
    </row>
    <row r="116" spans="1:7" x14ac:dyDescent="0.25">
      <c r="A116" s="5">
        <v>42461</v>
      </c>
      <c r="B116" s="6">
        <f t="shared" si="1"/>
        <v>2016</v>
      </c>
      <c r="C116" s="7">
        <v>81.61</v>
      </c>
      <c r="D116" s="7">
        <v>67.209999999999994</v>
      </c>
      <c r="E116" s="9">
        <v>44.94</v>
      </c>
      <c r="F116" s="10">
        <v>2268.37</v>
      </c>
      <c r="G116" s="11">
        <v>78.819999999999993</v>
      </c>
    </row>
    <row r="117" spans="1:7" x14ac:dyDescent="0.25">
      <c r="A117" s="5">
        <v>42491</v>
      </c>
      <c r="B117" s="6">
        <f t="shared" si="1"/>
        <v>2016</v>
      </c>
      <c r="C117" s="7">
        <v>85.14</v>
      </c>
      <c r="D117" s="7">
        <v>71.34</v>
      </c>
      <c r="E117" s="9">
        <v>47.96</v>
      </c>
      <c r="F117" s="10">
        <v>2252.86</v>
      </c>
      <c r="G117" s="11">
        <v>78.819999999999993</v>
      </c>
    </row>
    <row r="118" spans="1:7" x14ac:dyDescent="0.25">
      <c r="A118" s="5">
        <v>42522</v>
      </c>
      <c r="B118" s="6">
        <f t="shared" si="1"/>
        <v>2016</v>
      </c>
      <c r="C118" s="7">
        <v>87.07</v>
      </c>
      <c r="D118" s="7">
        <v>74.69</v>
      </c>
      <c r="E118" s="9">
        <v>59.1</v>
      </c>
      <c r="F118" s="10">
        <v>2231.38</v>
      </c>
      <c r="G118" s="11">
        <v>78.709999999999994</v>
      </c>
    </row>
    <row r="119" spans="1:7" x14ac:dyDescent="0.25">
      <c r="A119" s="5">
        <v>42552</v>
      </c>
      <c r="B119" s="6">
        <f t="shared" si="1"/>
        <v>2016</v>
      </c>
      <c r="C119" s="7">
        <v>93.81</v>
      </c>
      <c r="D119" s="7">
        <v>84.2</v>
      </c>
      <c r="E119" s="9">
        <v>62.42</v>
      </c>
      <c r="F119" s="10">
        <v>2097.5100000000002</v>
      </c>
      <c r="G119" s="11">
        <v>78.709999999999994</v>
      </c>
    </row>
    <row r="120" spans="1:7" x14ac:dyDescent="0.25">
      <c r="A120" s="5">
        <v>42583</v>
      </c>
      <c r="B120" s="6">
        <f t="shared" si="1"/>
        <v>2016</v>
      </c>
      <c r="C120" s="7">
        <v>96.01</v>
      </c>
      <c r="D120" s="7">
        <v>85.47</v>
      </c>
      <c r="E120" s="9">
        <v>63.45</v>
      </c>
      <c r="F120" s="10">
        <v>2078.7600000000002</v>
      </c>
      <c r="G120" s="11">
        <v>79</v>
      </c>
    </row>
    <row r="121" spans="1:7" x14ac:dyDescent="0.25">
      <c r="A121" s="5">
        <v>42614</v>
      </c>
      <c r="B121" s="6">
        <f t="shared" si="1"/>
        <v>2016</v>
      </c>
      <c r="C121" s="7">
        <v>92.28</v>
      </c>
      <c r="D121" s="7">
        <v>83.42</v>
      </c>
      <c r="E121" s="9">
        <v>60.08</v>
      </c>
      <c r="F121" s="10">
        <v>2029.12</v>
      </c>
      <c r="G121" s="11">
        <v>79.39</v>
      </c>
    </row>
    <row r="122" spans="1:7" x14ac:dyDescent="0.25">
      <c r="A122" s="5">
        <v>42644</v>
      </c>
      <c r="B122" s="6">
        <f t="shared" si="1"/>
        <v>2016</v>
      </c>
      <c r="C122" s="7">
        <v>92.44</v>
      </c>
      <c r="D122" s="7">
        <v>83.08</v>
      </c>
      <c r="E122" s="9">
        <v>59.68</v>
      </c>
      <c r="F122" s="10">
        <v>1989.54</v>
      </c>
      <c r="G122" s="11">
        <v>79.17</v>
      </c>
    </row>
    <row r="123" spans="1:7" x14ac:dyDescent="0.25">
      <c r="A123" s="5">
        <v>42675</v>
      </c>
      <c r="B123" s="6">
        <f t="shared" si="1"/>
        <v>2016</v>
      </c>
      <c r="C123" s="7">
        <v>95.82</v>
      </c>
      <c r="D123" s="7">
        <v>83.14</v>
      </c>
      <c r="E123" s="9">
        <v>63.13</v>
      </c>
      <c r="F123" s="10">
        <v>1987.69</v>
      </c>
      <c r="G123" s="11">
        <v>79.069999999999993</v>
      </c>
    </row>
    <row r="124" spans="1:7" x14ac:dyDescent="0.25">
      <c r="A124" s="5">
        <v>42705</v>
      </c>
      <c r="B124" s="6">
        <f t="shared" si="1"/>
        <v>2016</v>
      </c>
      <c r="C124" s="7">
        <v>95.08</v>
      </c>
      <c r="D124" s="7">
        <v>88.18</v>
      </c>
      <c r="E124" s="9">
        <v>64.52</v>
      </c>
      <c r="F124" s="10">
        <v>1983.06</v>
      </c>
      <c r="G124" s="11">
        <v>79.2</v>
      </c>
    </row>
    <row r="125" spans="1:7" x14ac:dyDescent="0.25">
      <c r="A125" s="5">
        <v>42736</v>
      </c>
      <c r="B125" s="6">
        <f t="shared" si="1"/>
        <v>2017</v>
      </c>
      <c r="C125" s="7">
        <v>96.88</v>
      </c>
      <c r="D125" s="7">
        <v>85.2</v>
      </c>
      <c r="E125" s="9">
        <v>64.41</v>
      </c>
      <c r="F125" s="10">
        <v>1989.5</v>
      </c>
      <c r="G125" s="11">
        <v>79.64</v>
      </c>
    </row>
    <row r="126" spans="1:7" x14ac:dyDescent="0.25">
      <c r="A126" s="5">
        <v>42767</v>
      </c>
      <c r="B126" s="6">
        <f t="shared" si="1"/>
        <v>2017</v>
      </c>
      <c r="C126" s="7">
        <v>101.14</v>
      </c>
      <c r="D126" s="7">
        <v>90.22</v>
      </c>
      <c r="E126" s="9">
        <v>68.150000000000006</v>
      </c>
      <c r="F126" s="10">
        <v>1976.38</v>
      </c>
      <c r="G126" s="11">
        <v>79.78</v>
      </c>
    </row>
    <row r="127" spans="1:7" x14ac:dyDescent="0.25">
      <c r="A127" s="5">
        <v>42795</v>
      </c>
      <c r="B127" s="6">
        <f t="shared" si="1"/>
        <v>2017</v>
      </c>
      <c r="C127" s="7">
        <v>101.91</v>
      </c>
      <c r="D127" s="7">
        <v>91.39</v>
      </c>
      <c r="E127" s="9">
        <v>68.930000000000007</v>
      </c>
      <c r="F127" s="10">
        <v>1998.7</v>
      </c>
      <c r="G127" s="11">
        <v>79.81</v>
      </c>
    </row>
    <row r="128" spans="1:7" x14ac:dyDescent="0.25">
      <c r="A128" s="5">
        <v>42826</v>
      </c>
      <c r="B128" s="6">
        <f t="shared" si="1"/>
        <v>2017</v>
      </c>
      <c r="C128" s="7">
        <v>99.01</v>
      </c>
      <c r="D128" s="7">
        <v>89.7</v>
      </c>
      <c r="E128" s="9">
        <v>65.44</v>
      </c>
      <c r="F128" s="10">
        <v>2063.9499999999998</v>
      </c>
      <c r="G128" s="11">
        <v>80.8</v>
      </c>
    </row>
    <row r="129" spans="1:7" x14ac:dyDescent="0.25">
      <c r="A129" s="5">
        <v>42856</v>
      </c>
      <c r="B129" s="6">
        <f t="shared" si="1"/>
        <v>2017</v>
      </c>
      <c r="C129" s="7">
        <v>100.48</v>
      </c>
      <c r="D129" s="7">
        <v>89.02</v>
      </c>
      <c r="E129" s="9">
        <v>66.260000000000005</v>
      </c>
      <c r="F129" s="10">
        <v>2104.29</v>
      </c>
      <c r="G129" s="11">
        <v>81.37</v>
      </c>
    </row>
    <row r="130" spans="1:7" x14ac:dyDescent="0.25">
      <c r="A130" s="5">
        <v>42887</v>
      </c>
      <c r="B130" s="6">
        <f t="shared" si="1"/>
        <v>2017</v>
      </c>
      <c r="C130" s="7">
        <v>99.68</v>
      </c>
      <c r="D130" s="7">
        <v>87.95</v>
      </c>
      <c r="E130" s="9">
        <v>66.040000000000006</v>
      </c>
      <c r="F130" s="10">
        <v>2112.19</v>
      </c>
      <c r="G130" s="11">
        <v>81.7</v>
      </c>
    </row>
    <row r="131" spans="1:7" x14ac:dyDescent="0.25">
      <c r="A131" s="5">
        <v>42917</v>
      </c>
      <c r="B131" s="6">
        <f t="shared" si="1"/>
        <v>2017</v>
      </c>
      <c r="C131" s="7">
        <v>98</v>
      </c>
      <c r="D131" s="7">
        <v>85.45</v>
      </c>
      <c r="E131" s="9">
        <v>63.55</v>
      </c>
      <c r="F131" s="10">
        <v>2073.62</v>
      </c>
      <c r="G131" s="11">
        <v>81.61</v>
      </c>
    </row>
    <row r="132" spans="1:7" x14ac:dyDescent="0.25">
      <c r="A132" s="5">
        <v>42948</v>
      </c>
      <c r="B132" s="6">
        <f t="shared" si="1"/>
        <v>2017</v>
      </c>
      <c r="C132" s="7">
        <v>96.98</v>
      </c>
      <c r="D132" s="7">
        <v>86.84</v>
      </c>
      <c r="E132" s="9">
        <v>64.41</v>
      </c>
      <c r="F132" s="10">
        <v>2080.1</v>
      </c>
      <c r="G132" s="11">
        <v>81.61</v>
      </c>
    </row>
    <row r="133" spans="1:7" x14ac:dyDescent="0.25">
      <c r="A133" s="5">
        <v>42979</v>
      </c>
      <c r="B133" s="6">
        <f t="shared" si="1"/>
        <v>2017</v>
      </c>
      <c r="C133" s="7">
        <v>98.62</v>
      </c>
      <c r="D133" s="7">
        <v>87.4</v>
      </c>
      <c r="E133" s="9">
        <v>65.33</v>
      </c>
      <c r="F133" s="10">
        <v>2094.2199999999998</v>
      </c>
      <c r="G133" s="11">
        <v>81.86</v>
      </c>
    </row>
    <row r="134" spans="1:7" x14ac:dyDescent="0.25">
      <c r="A134" s="5">
        <v>43009</v>
      </c>
      <c r="B134" s="6">
        <f t="shared" ref="B134:B197" si="2">YEAR(A134)</f>
        <v>2017</v>
      </c>
      <c r="C134" s="7">
        <v>101.09</v>
      </c>
      <c r="D134" s="7">
        <v>88.43</v>
      </c>
      <c r="E134" s="9">
        <v>67.12</v>
      </c>
      <c r="F134" s="10">
        <v>2140.4699999999998</v>
      </c>
      <c r="G134" s="11">
        <v>81.819999999999993</v>
      </c>
    </row>
    <row r="135" spans="1:7" x14ac:dyDescent="0.25">
      <c r="A135" s="5">
        <v>43040</v>
      </c>
      <c r="B135" s="6">
        <f t="shared" si="2"/>
        <v>2017</v>
      </c>
      <c r="C135" s="7">
        <v>103.58</v>
      </c>
      <c r="D135" s="7">
        <v>93.37</v>
      </c>
      <c r="E135" s="9">
        <v>72.2</v>
      </c>
      <c r="F135" s="10">
        <v>2128.59</v>
      </c>
      <c r="G135" s="11">
        <v>82.51</v>
      </c>
    </row>
    <row r="136" spans="1:7" x14ac:dyDescent="0.25">
      <c r="A136" s="5">
        <v>43070</v>
      </c>
      <c r="B136" s="6">
        <f t="shared" si="2"/>
        <v>2017</v>
      </c>
      <c r="C136" s="7">
        <v>105.04</v>
      </c>
      <c r="D136" s="7">
        <v>93.41</v>
      </c>
      <c r="E136" s="9">
        <v>72.39</v>
      </c>
      <c r="F136" s="10">
        <v>2141.46</v>
      </c>
      <c r="G136" s="11">
        <v>83.04</v>
      </c>
    </row>
    <row r="137" spans="1:7" x14ac:dyDescent="0.25">
      <c r="A137" s="5">
        <v>43101</v>
      </c>
      <c r="B137" s="6">
        <f t="shared" si="2"/>
        <v>2018</v>
      </c>
      <c r="C137" s="7">
        <v>107.17</v>
      </c>
      <c r="D137" s="7">
        <v>95.79</v>
      </c>
      <c r="E137" s="7">
        <v>75.739999999999995</v>
      </c>
      <c r="F137" s="7">
        <v>2140.37</v>
      </c>
      <c r="G137" s="8">
        <v>83.47</v>
      </c>
    </row>
    <row r="138" spans="1:7" x14ac:dyDescent="0.25">
      <c r="A138" s="5">
        <v>43132</v>
      </c>
      <c r="B138" s="6">
        <f t="shared" si="2"/>
        <v>2018</v>
      </c>
      <c r="C138" s="7">
        <v>108.79</v>
      </c>
      <c r="D138" s="7">
        <v>97.92</v>
      </c>
      <c r="E138" s="7">
        <v>77.709999999999994</v>
      </c>
      <c r="F138" s="7">
        <v>2150.1999999999998</v>
      </c>
      <c r="G138" s="8">
        <v>84.49</v>
      </c>
    </row>
    <row r="139" spans="1:7" x14ac:dyDescent="0.25">
      <c r="A139" s="5">
        <v>43160</v>
      </c>
      <c r="B139" s="6">
        <f t="shared" si="2"/>
        <v>2018</v>
      </c>
      <c r="C139" s="7">
        <v>108.33</v>
      </c>
      <c r="D139" s="7">
        <v>98.82</v>
      </c>
      <c r="E139" s="7">
        <v>78.41</v>
      </c>
      <c r="F139" s="7">
        <v>2169.19</v>
      </c>
      <c r="G139" s="8">
        <v>107.36</v>
      </c>
    </row>
    <row r="140" spans="1:7" x14ac:dyDescent="0.25">
      <c r="A140" s="5">
        <v>43191</v>
      </c>
      <c r="B140" s="6">
        <f t="shared" si="2"/>
        <v>2018</v>
      </c>
      <c r="C140" s="7">
        <v>107.7</v>
      </c>
      <c r="D140" s="7">
        <v>98.82</v>
      </c>
      <c r="E140" s="7">
        <v>77.680000000000007</v>
      </c>
      <c r="F140" s="7">
        <v>2172.2399999999998</v>
      </c>
      <c r="G140" s="8">
        <v>125.48</v>
      </c>
    </row>
    <row r="141" spans="1:7" x14ac:dyDescent="0.25">
      <c r="A141" s="5">
        <v>43221</v>
      </c>
      <c r="B141" s="6">
        <f t="shared" si="2"/>
        <v>2018</v>
      </c>
      <c r="C141" s="7">
        <v>108.04</v>
      </c>
      <c r="D141" s="7">
        <v>99.6</v>
      </c>
      <c r="E141" s="7">
        <v>79.180000000000007</v>
      </c>
      <c r="F141" s="7">
        <v>2164.4299999999998</v>
      </c>
      <c r="G141" s="8">
        <v>135.63999999999999</v>
      </c>
    </row>
    <row r="142" spans="1:7" x14ac:dyDescent="0.25">
      <c r="A142" s="5">
        <v>43252</v>
      </c>
      <c r="B142" s="6">
        <f t="shared" si="2"/>
        <v>2018</v>
      </c>
      <c r="C142" s="7">
        <v>109.67</v>
      </c>
      <c r="D142" s="7">
        <v>104.55</v>
      </c>
      <c r="E142" s="7">
        <v>85.05</v>
      </c>
      <c r="F142" s="7">
        <v>2170.92</v>
      </c>
      <c r="G142" s="8">
        <v>138.13</v>
      </c>
    </row>
    <row r="143" spans="1:7" x14ac:dyDescent="0.25">
      <c r="A143" s="5">
        <v>43282</v>
      </c>
      <c r="B143" s="6">
        <f t="shared" si="2"/>
        <v>2018</v>
      </c>
      <c r="C143" s="7">
        <v>113.07</v>
      </c>
      <c r="D143" s="7">
        <v>104.21</v>
      </c>
      <c r="E143" s="7">
        <v>86.69</v>
      </c>
      <c r="F143" s="7">
        <v>2176.31</v>
      </c>
      <c r="G143" s="8">
        <v>137.38999999999999</v>
      </c>
    </row>
    <row r="144" spans="1:7" x14ac:dyDescent="0.25">
      <c r="A144" s="5">
        <v>43313</v>
      </c>
      <c r="B144" s="6">
        <f t="shared" si="2"/>
        <v>2018</v>
      </c>
      <c r="C144" s="7">
        <v>114.58</v>
      </c>
      <c r="D144" s="7">
        <v>103.69</v>
      </c>
      <c r="E144" s="7">
        <v>85.9</v>
      </c>
      <c r="F144" s="7">
        <v>2177.3200000000002</v>
      </c>
      <c r="G144" s="8">
        <v>137.71</v>
      </c>
    </row>
    <row r="145" spans="1:7" x14ac:dyDescent="0.25">
      <c r="A145" s="5">
        <v>43344</v>
      </c>
      <c r="B145" s="6">
        <f t="shared" si="2"/>
        <v>2018</v>
      </c>
      <c r="C145" s="7">
        <v>117.54</v>
      </c>
      <c r="D145" s="7">
        <v>108.97</v>
      </c>
      <c r="E145" s="7">
        <v>109.25</v>
      </c>
      <c r="F145" s="7">
        <v>2187.21</v>
      </c>
      <c r="G145" s="8">
        <v>141.24</v>
      </c>
    </row>
    <row r="146" spans="1:7" x14ac:dyDescent="0.25">
      <c r="A146" s="5">
        <v>43374</v>
      </c>
      <c r="B146" s="6">
        <f t="shared" si="2"/>
        <v>2018</v>
      </c>
      <c r="C146" s="7">
        <v>116.48</v>
      </c>
      <c r="D146" s="7">
        <v>110.57</v>
      </c>
      <c r="E146" s="7">
        <v>109.68</v>
      </c>
      <c r="F146" s="7">
        <v>2185.79</v>
      </c>
      <c r="G146" s="8">
        <v>140.93</v>
      </c>
    </row>
    <row r="147" spans="1:7" x14ac:dyDescent="0.25">
      <c r="A147" s="5">
        <v>43405</v>
      </c>
      <c r="B147" s="6">
        <f t="shared" si="2"/>
        <v>2018</v>
      </c>
      <c r="C147" s="7">
        <v>117.54</v>
      </c>
      <c r="D147" s="7">
        <v>108.97</v>
      </c>
      <c r="E147" s="7">
        <v>109.25</v>
      </c>
      <c r="F147" s="7">
        <v>2141.46</v>
      </c>
      <c r="G147" s="8">
        <v>141.12</v>
      </c>
    </row>
    <row r="148" spans="1:7" x14ac:dyDescent="0.25">
      <c r="A148" s="5">
        <v>43435</v>
      </c>
      <c r="B148" s="6">
        <f t="shared" si="2"/>
        <v>2018</v>
      </c>
      <c r="C148" s="7">
        <v>114.3</v>
      </c>
      <c r="D148" s="7">
        <v>111.89</v>
      </c>
      <c r="E148" s="7">
        <v>106.15</v>
      </c>
      <c r="F148" s="7">
        <v>2193.42</v>
      </c>
      <c r="G148" s="8">
        <v>141.62</v>
      </c>
    </row>
    <row r="149" spans="1:7" x14ac:dyDescent="0.25">
      <c r="A149" s="5">
        <v>43466</v>
      </c>
      <c r="B149" s="6">
        <f t="shared" si="2"/>
        <v>2019</v>
      </c>
      <c r="C149" s="7">
        <v>104.99</v>
      </c>
      <c r="D149" s="7">
        <v>103.1</v>
      </c>
      <c r="E149" s="7">
        <v>102.56</v>
      </c>
      <c r="F149" s="7">
        <v>2193.13</v>
      </c>
      <c r="G149" s="8">
        <v>141.22</v>
      </c>
    </row>
    <row r="150" spans="1:7" x14ac:dyDescent="0.25">
      <c r="A150" s="5">
        <v>43497</v>
      </c>
      <c r="B150" s="6">
        <f t="shared" si="2"/>
        <v>2019</v>
      </c>
      <c r="C150" s="7">
        <v>101.13</v>
      </c>
      <c r="D150" s="7">
        <v>96.83</v>
      </c>
      <c r="E150" s="7">
        <v>102.56</v>
      </c>
      <c r="F150" s="7">
        <v>2189.9899999999998</v>
      </c>
      <c r="G150" s="8">
        <v>141.04</v>
      </c>
    </row>
    <row r="151" spans="1:7" x14ac:dyDescent="0.25">
      <c r="A151" s="5">
        <v>43525</v>
      </c>
      <c r="B151" s="6">
        <f t="shared" si="2"/>
        <v>2019</v>
      </c>
      <c r="C151" s="7">
        <v>102.13</v>
      </c>
      <c r="D151" s="7">
        <v>97.47</v>
      </c>
      <c r="E151" s="7">
        <v>97.63</v>
      </c>
      <c r="F151" s="7">
        <v>2191.84</v>
      </c>
      <c r="G151" s="8">
        <v>140.41999999999999</v>
      </c>
    </row>
    <row r="152" spans="1:7" x14ac:dyDescent="0.25">
      <c r="A152" s="5">
        <v>43556</v>
      </c>
      <c r="B152" s="6">
        <f t="shared" si="2"/>
        <v>2019</v>
      </c>
      <c r="C152" s="7">
        <v>107.57</v>
      </c>
      <c r="D152" s="7">
        <v>103.09</v>
      </c>
      <c r="E152" s="7">
        <v>100.31</v>
      </c>
      <c r="F152" s="7">
        <v>2184.85</v>
      </c>
      <c r="G152" s="8">
        <v>145.05000000000001</v>
      </c>
    </row>
    <row r="153" spans="1:7" x14ac:dyDescent="0.25">
      <c r="A153" s="5">
        <v>43586</v>
      </c>
      <c r="B153" s="6">
        <f t="shared" si="2"/>
        <v>2019</v>
      </c>
      <c r="C153" s="7">
        <v>112.79</v>
      </c>
      <c r="D153" s="7">
        <v>105.23</v>
      </c>
      <c r="E153" s="7">
        <v>102.49</v>
      </c>
      <c r="F153" s="7">
        <v>2193.17</v>
      </c>
      <c r="G153" s="8">
        <v>146.24</v>
      </c>
    </row>
    <row r="154" spans="1:7" x14ac:dyDescent="0.25">
      <c r="A154" s="5">
        <v>43617</v>
      </c>
      <c r="B154" s="6">
        <f t="shared" si="2"/>
        <v>2019</v>
      </c>
      <c r="C154" s="7">
        <v>115.82</v>
      </c>
      <c r="D154" s="7">
        <v>105.57</v>
      </c>
      <c r="E154" s="7">
        <v>105.48</v>
      </c>
      <c r="F154" s="7">
        <v>2192.25</v>
      </c>
      <c r="G154" s="8">
        <v>144.13999999999999</v>
      </c>
    </row>
    <row r="155" spans="1:7" x14ac:dyDescent="0.25">
      <c r="A155" s="5">
        <v>43647</v>
      </c>
      <c r="B155" s="6">
        <f t="shared" si="2"/>
        <v>2019</v>
      </c>
      <c r="C155" s="7">
        <v>116.14</v>
      </c>
      <c r="D155" s="7">
        <v>104.74</v>
      </c>
      <c r="E155" s="7">
        <v>105.11</v>
      </c>
      <c r="F155" s="7">
        <v>2171.4699999999998</v>
      </c>
      <c r="G155" s="8">
        <v>145.15</v>
      </c>
    </row>
    <row r="156" spans="1:7" x14ac:dyDescent="0.25">
      <c r="A156" s="5">
        <v>43678</v>
      </c>
      <c r="B156" s="6">
        <f t="shared" si="2"/>
        <v>2019</v>
      </c>
      <c r="C156" s="7">
        <v>111.7</v>
      </c>
      <c r="D156" s="7">
        <v>104.92</v>
      </c>
      <c r="E156" s="7">
        <v>100.6</v>
      </c>
      <c r="F156" s="7">
        <v>2150.27</v>
      </c>
      <c r="G156" s="8">
        <v>144.66</v>
      </c>
    </row>
    <row r="157" spans="1:7" x14ac:dyDescent="0.25">
      <c r="A157" s="5">
        <v>43709</v>
      </c>
      <c r="B157" s="6">
        <f t="shared" si="2"/>
        <v>2019</v>
      </c>
      <c r="C157" s="7">
        <v>113.57</v>
      </c>
      <c r="D157" s="7">
        <v>103.9</v>
      </c>
      <c r="E157" s="7">
        <v>101.44</v>
      </c>
      <c r="F157" s="7">
        <v>2141.31</v>
      </c>
      <c r="G157" s="8">
        <v>144.74</v>
      </c>
    </row>
    <row r="158" spans="1:7" x14ac:dyDescent="0.25">
      <c r="A158" s="5">
        <v>43739</v>
      </c>
      <c r="B158" s="6">
        <f t="shared" si="2"/>
        <v>2019</v>
      </c>
      <c r="C158" s="7">
        <v>108.83</v>
      </c>
      <c r="D158" s="7">
        <v>102.82</v>
      </c>
      <c r="E158" s="7">
        <v>101.94</v>
      </c>
      <c r="F158" s="7">
        <v>2124.79</v>
      </c>
      <c r="G158" s="8">
        <v>147.16999999999999</v>
      </c>
    </row>
    <row r="159" spans="1:7" x14ac:dyDescent="0.25">
      <c r="A159" s="5">
        <v>43770</v>
      </c>
      <c r="B159" s="6">
        <f t="shared" si="2"/>
        <v>2019</v>
      </c>
      <c r="C159" s="7">
        <v>110.99</v>
      </c>
      <c r="D159" s="7">
        <v>105.1</v>
      </c>
      <c r="E159" s="7">
        <v>104.53</v>
      </c>
      <c r="F159" s="7">
        <v>2100.88</v>
      </c>
      <c r="G159" s="8">
        <v>151.03</v>
      </c>
    </row>
    <row r="160" spans="1:7" x14ac:dyDescent="0.25">
      <c r="A160" s="5">
        <v>43800</v>
      </c>
      <c r="B160" s="6">
        <f t="shared" si="2"/>
        <v>2019</v>
      </c>
      <c r="C160" s="7">
        <v>109.91</v>
      </c>
      <c r="D160" s="7">
        <v>102.28</v>
      </c>
      <c r="E160" s="7">
        <v>102.81</v>
      </c>
      <c r="F160" s="7">
        <v>2101.16</v>
      </c>
      <c r="G160" s="8">
        <v>152.37</v>
      </c>
    </row>
    <row r="161" spans="1:7" x14ac:dyDescent="0.25">
      <c r="A161" s="5">
        <v>43831</v>
      </c>
      <c r="B161" s="6">
        <f t="shared" si="2"/>
        <v>2020</v>
      </c>
      <c r="C161" s="7">
        <v>110.61</v>
      </c>
      <c r="D161" s="9">
        <v>102.81</v>
      </c>
      <c r="E161" s="9">
        <v>104.46</v>
      </c>
      <c r="F161" s="7">
        <v>2144.81</v>
      </c>
      <c r="G161" s="8">
        <v>152.25</v>
      </c>
    </row>
    <row r="162" spans="1:7" x14ac:dyDescent="0.25">
      <c r="A162" s="5">
        <v>43862</v>
      </c>
      <c r="B162" s="6">
        <f t="shared" si="2"/>
        <v>2020</v>
      </c>
      <c r="C162" s="7">
        <v>112.58</v>
      </c>
      <c r="D162" s="9">
        <v>105.37</v>
      </c>
      <c r="E162" s="9">
        <v>103.65</v>
      </c>
      <c r="F162" s="7">
        <v>2055.3000000000002</v>
      </c>
      <c r="G162" s="8">
        <v>58.12</v>
      </c>
    </row>
    <row r="163" spans="1:7" x14ac:dyDescent="0.25">
      <c r="A163" s="5">
        <v>43891</v>
      </c>
      <c r="B163" s="6">
        <f t="shared" si="2"/>
        <v>2020</v>
      </c>
      <c r="C163" s="7">
        <v>112.07</v>
      </c>
      <c r="D163" s="9">
        <v>102.93</v>
      </c>
      <c r="E163" s="9">
        <v>96.72</v>
      </c>
      <c r="F163" s="7">
        <v>2065.98</v>
      </c>
      <c r="G163" s="8">
        <v>56.83</v>
      </c>
    </row>
    <row r="164" spans="1:7" x14ac:dyDescent="0.25">
      <c r="A164" s="5">
        <v>43922</v>
      </c>
      <c r="B164" s="6">
        <f t="shared" si="2"/>
        <v>2020</v>
      </c>
      <c r="C164" s="7">
        <v>94.09</v>
      </c>
      <c r="D164" s="9">
        <v>98.84</v>
      </c>
      <c r="E164" s="9">
        <v>78.59</v>
      </c>
      <c r="F164" s="7">
        <v>2077.88</v>
      </c>
      <c r="G164" s="8">
        <v>57.87</v>
      </c>
    </row>
    <row r="165" spans="1:7" x14ac:dyDescent="0.25">
      <c r="A165" s="5">
        <v>43952</v>
      </c>
      <c r="B165" s="6">
        <f t="shared" si="2"/>
        <v>2020</v>
      </c>
      <c r="C165" s="7">
        <v>84.58</v>
      </c>
      <c r="D165" s="9">
        <v>79.67</v>
      </c>
      <c r="E165" s="9">
        <v>81.08</v>
      </c>
      <c r="F165" s="7">
        <v>2075.87</v>
      </c>
      <c r="G165" s="8">
        <v>57.41</v>
      </c>
    </row>
    <row r="166" spans="1:7" x14ac:dyDescent="0.25">
      <c r="A166" s="5">
        <v>43983</v>
      </c>
      <c r="B166" s="6">
        <f t="shared" si="2"/>
        <v>2020</v>
      </c>
      <c r="C166" s="7">
        <v>90.34</v>
      </c>
      <c r="D166" s="9">
        <v>75.88</v>
      </c>
      <c r="E166" s="9">
        <v>63.79</v>
      </c>
      <c r="F166" s="7">
        <v>2078.5</v>
      </c>
      <c r="G166" s="8">
        <v>57.19</v>
      </c>
    </row>
    <row r="167" spans="1:7" x14ac:dyDescent="0.25">
      <c r="A167" s="5">
        <v>44013</v>
      </c>
      <c r="B167" s="6">
        <f t="shared" si="2"/>
        <v>2020</v>
      </c>
      <c r="C167" s="7">
        <v>101.37</v>
      </c>
      <c r="D167" s="9">
        <v>92.81</v>
      </c>
      <c r="E167" s="9">
        <v>66.41</v>
      </c>
      <c r="F167" s="7">
        <v>2075</v>
      </c>
      <c r="G167" s="8">
        <v>57.37</v>
      </c>
    </row>
    <row r="168" spans="1:7" x14ac:dyDescent="0.25">
      <c r="A168" s="5">
        <v>44044</v>
      </c>
      <c r="B168" s="6">
        <f t="shared" si="2"/>
        <v>2020</v>
      </c>
      <c r="C168" s="7">
        <v>104.83</v>
      </c>
      <c r="D168" s="9">
        <v>95.57</v>
      </c>
      <c r="E168" s="9">
        <v>84.6</v>
      </c>
      <c r="F168" s="7">
        <v>2060.15</v>
      </c>
      <c r="G168" s="8">
        <v>58.6</v>
      </c>
    </row>
    <row r="169" spans="1:7" x14ac:dyDescent="0.25">
      <c r="A169" s="5">
        <v>44075</v>
      </c>
      <c r="B169" s="6">
        <f t="shared" si="2"/>
        <v>2020</v>
      </c>
      <c r="C169" s="7">
        <v>106.3</v>
      </c>
      <c r="D169" s="9">
        <v>95.45</v>
      </c>
      <c r="E169" s="9">
        <v>84.09</v>
      </c>
      <c r="F169" s="7">
        <v>2033.57</v>
      </c>
      <c r="G169" s="8">
        <v>58.29</v>
      </c>
    </row>
    <row r="170" spans="1:7" x14ac:dyDescent="0.25">
      <c r="A170" s="5">
        <v>44105</v>
      </c>
      <c r="B170" s="6">
        <f t="shared" si="2"/>
        <v>2020</v>
      </c>
      <c r="C170" s="7">
        <v>108.13</v>
      </c>
      <c r="D170" s="9">
        <v>93.85</v>
      </c>
      <c r="E170" s="9">
        <v>84.67</v>
      </c>
      <c r="F170" s="7">
        <v>2017.77</v>
      </c>
      <c r="G170" s="8">
        <v>58.2</v>
      </c>
    </row>
    <row r="171" spans="1:7" x14ac:dyDescent="0.25">
      <c r="A171" s="5">
        <v>44136</v>
      </c>
      <c r="B171" s="6">
        <f t="shared" si="2"/>
        <v>2020</v>
      </c>
      <c r="C171" s="7">
        <v>106.72</v>
      </c>
      <c r="D171" s="9">
        <v>91.64</v>
      </c>
      <c r="E171" s="9">
        <v>82.58</v>
      </c>
      <c r="F171" s="7">
        <v>2019.88</v>
      </c>
      <c r="G171" s="8">
        <v>58.2</v>
      </c>
    </row>
    <row r="172" spans="1:7" x14ac:dyDescent="0.25">
      <c r="A172" s="5">
        <v>44166</v>
      </c>
      <c r="B172" s="6">
        <f t="shared" si="2"/>
        <v>2020</v>
      </c>
      <c r="C172" s="7">
        <v>107.69</v>
      </c>
      <c r="D172" s="9">
        <v>92.75</v>
      </c>
      <c r="E172" s="9">
        <v>84.5</v>
      </c>
      <c r="F172" s="7">
        <v>1977.36</v>
      </c>
      <c r="G172" s="8">
        <v>57.76</v>
      </c>
    </row>
    <row r="173" spans="1:7" x14ac:dyDescent="0.25">
      <c r="A173" s="5">
        <v>44197</v>
      </c>
      <c r="B173" s="6">
        <f t="shared" si="2"/>
        <v>2021</v>
      </c>
      <c r="C173" s="7">
        <v>107.86</v>
      </c>
      <c r="D173" s="9">
        <v>97.33</v>
      </c>
      <c r="E173" s="9">
        <v>88.07</v>
      </c>
      <c r="F173" s="7">
        <v>2018.93</v>
      </c>
      <c r="G173" s="8">
        <v>58.51</v>
      </c>
    </row>
    <row r="174" spans="1:7" x14ac:dyDescent="0.25">
      <c r="A174" s="5">
        <v>44228</v>
      </c>
      <c r="B174" s="6">
        <f t="shared" si="2"/>
        <v>2021</v>
      </c>
      <c r="C174" s="7">
        <v>116.03</v>
      </c>
      <c r="D174" s="9">
        <v>102.84</v>
      </c>
      <c r="E174" s="9">
        <v>93.37</v>
      </c>
      <c r="F174" s="7">
        <v>2031.21</v>
      </c>
      <c r="G174" s="8">
        <v>58.37</v>
      </c>
    </row>
    <row r="175" spans="1:7" x14ac:dyDescent="0.25">
      <c r="A175" s="5">
        <v>44256</v>
      </c>
      <c r="B175" s="6">
        <f t="shared" si="2"/>
        <v>2021</v>
      </c>
      <c r="C175" s="7">
        <v>123.66</v>
      </c>
      <c r="D175" s="9">
        <v>108.58</v>
      </c>
      <c r="E175" s="9">
        <v>98.78</v>
      </c>
      <c r="F175" s="7">
        <v>2074.23</v>
      </c>
      <c r="G175" s="8">
        <v>59.42</v>
      </c>
    </row>
    <row r="176" spans="1:7" x14ac:dyDescent="0.25">
      <c r="A176" s="5">
        <v>44287</v>
      </c>
      <c r="B176" s="6">
        <f t="shared" si="2"/>
        <v>2021</v>
      </c>
      <c r="C176" s="7">
        <v>123.66</v>
      </c>
      <c r="D176" s="9">
        <v>108.58</v>
      </c>
      <c r="E176" s="9">
        <v>98.78</v>
      </c>
      <c r="F176" s="7">
        <v>2074.23</v>
      </c>
      <c r="G176" s="8">
        <v>59.83</v>
      </c>
    </row>
    <row r="177" spans="1:7" x14ac:dyDescent="0.25">
      <c r="A177" s="5">
        <v>44317</v>
      </c>
      <c r="B177" s="6">
        <f t="shared" si="2"/>
        <v>2021</v>
      </c>
      <c r="C177" s="7">
        <v>127.21</v>
      </c>
      <c r="D177" s="9">
        <v>108.58</v>
      </c>
      <c r="E177" s="9">
        <v>98.78</v>
      </c>
      <c r="F177" s="7">
        <v>2074.23</v>
      </c>
      <c r="G177" s="8">
        <v>58.07</v>
      </c>
    </row>
    <row r="178" spans="1:7" x14ac:dyDescent="0.25">
      <c r="A178" s="5">
        <v>44348</v>
      </c>
      <c r="B178" s="6">
        <f t="shared" si="2"/>
        <v>2021</v>
      </c>
      <c r="C178" s="7">
        <v>127.98</v>
      </c>
      <c r="D178" s="9">
        <v>108.58</v>
      </c>
      <c r="E178" s="9">
        <v>98.78</v>
      </c>
      <c r="F178" s="7">
        <v>2074.23</v>
      </c>
      <c r="G178" s="8">
        <v>58.79</v>
      </c>
    </row>
    <row r="179" spans="1:7" x14ac:dyDescent="0.25">
      <c r="A179" s="5">
        <v>44378</v>
      </c>
      <c r="B179" s="6">
        <f t="shared" si="2"/>
        <v>2021</v>
      </c>
      <c r="C179" s="7">
        <v>127.98</v>
      </c>
      <c r="D179" s="9">
        <v>108.58</v>
      </c>
      <c r="E179" s="9">
        <v>98.78</v>
      </c>
      <c r="F179" s="7">
        <v>2394.1799999999998</v>
      </c>
      <c r="G179" s="8">
        <v>59.52</v>
      </c>
    </row>
    <row r="180" spans="1:7" x14ac:dyDescent="0.25">
      <c r="A180" s="5">
        <v>44409</v>
      </c>
      <c r="B180" s="6">
        <f t="shared" si="2"/>
        <v>2021</v>
      </c>
      <c r="C180" s="7">
        <v>127.98</v>
      </c>
      <c r="D180" s="9">
        <v>108.58</v>
      </c>
      <c r="E180" s="9">
        <v>98.78</v>
      </c>
      <c r="F180" s="7">
        <v>2420.6799999999998</v>
      </c>
      <c r="G180" s="8">
        <v>59.38</v>
      </c>
    </row>
    <row r="181" spans="1:7" x14ac:dyDescent="0.25">
      <c r="A181" s="5">
        <v>44440</v>
      </c>
      <c r="B181" s="6">
        <f t="shared" si="2"/>
        <v>2021</v>
      </c>
      <c r="C181" s="7">
        <v>135.54</v>
      </c>
      <c r="D181" s="9">
        <v>116.51</v>
      </c>
      <c r="E181" s="9">
        <v>111.74</v>
      </c>
      <c r="F181" s="7">
        <v>2445.23</v>
      </c>
      <c r="G181" s="8">
        <v>60.37</v>
      </c>
    </row>
    <row r="182" spans="1:7" x14ac:dyDescent="0.25">
      <c r="A182" s="5">
        <v>44470</v>
      </c>
      <c r="B182" s="6">
        <f t="shared" si="2"/>
        <v>2021</v>
      </c>
      <c r="C182" s="7">
        <v>130.54</v>
      </c>
      <c r="D182" s="9">
        <v>111.51</v>
      </c>
      <c r="E182" s="9">
        <v>104.46</v>
      </c>
      <c r="F182" s="7">
        <v>2513.7399999999998</v>
      </c>
      <c r="G182" s="8">
        <v>61.01</v>
      </c>
    </row>
    <row r="183" spans="1:7" x14ac:dyDescent="0.25">
      <c r="A183" s="5">
        <v>44501</v>
      </c>
      <c r="B183" s="6">
        <f t="shared" si="2"/>
        <v>2021</v>
      </c>
      <c r="C183" s="7">
        <v>130.54</v>
      </c>
      <c r="D183" s="9">
        <v>111.51</v>
      </c>
      <c r="E183" s="9">
        <v>105.46</v>
      </c>
      <c r="F183" s="7">
        <v>2611.1799999999998</v>
      </c>
      <c r="G183" s="8">
        <v>60.74</v>
      </c>
    </row>
    <row r="184" spans="1:7" x14ac:dyDescent="0.25">
      <c r="A184" s="5">
        <v>44531</v>
      </c>
      <c r="B184" s="6">
        <f t="shared" si="2"/>
        <v>2021</v>
      </c>
      <c r="C184" s="7">
        <v>130.54</v>
      </c>
      <c r="D184" s="9">
        <v>111.51</v>
      </c>
      <c r="E184" s="9">
        <v>106.46</v>
      </c>
      <c r="F184" s="7">
        <v>2638.83</v>
      </c>
      <c r="G184" s="8">
        <v>61.31</v>
      </c>
    </row>
    <row r="185" spans="1:7" x14ac:dyDescent="0.25">
      <c r="A185" s="5">
        <v>44562</v>
      </c>
      <c r="B185" s="6">
        <f t="shared" si="2"/>
        <v>2022</v>
      </c>
      <c r="C185" s="7">
        <v>130.54</v>
      </c>
      <c r="D185" s="7">
        <v>111.51</v>
      </c>
      <c r="E185" s="7">
        <v>106.46</v>
      </c>
      <c r="F185" s="7">
        <v>2659.24</v>
      </c>
      <c r="G185" s="8">
        <v>63.11</v>
      </c>
    </row>
    <row r="186" spans="1:7" x14ac:dyDescent="0.25">
      <c r="A186" s="5">
        <v>44593</v>
      </c>
      <c r="B186" s="6">
        <f t="shared" si="2"/>
        <v>2022</v>
      </c>
      <c r="C186" s="7">
        <v>130.54</v>
      </c>
      <c r="D186" s="7">
        <v>111.51</v>
      </c>
      <c r="E186" s="7">
        <v>106.46</v>
      </c>
      <c r="F186" s="7">
        <v>2659.7</v>
      </c>
      <c r="G186" s="8">
        <v>63.71</v>
      </c>
    </row>
    <row r="187" spans="1:7" x14ac:dyDescent="0.25">
      <c r="A187" s="5">
        <v>44621</v>
      </c>
      <c r="B187" s="6">
        <f t="shared" si="2"/>
        <v>2022</v>
      </c>
      <c r="C187" s="7">
        <v>135.54</v>
      </c>
      <c r="D187" s="7">
        <v>116.51</v>
      </c>
      <c r="E187" s="7">
        <v>104.46</v>
      </c>
      <c r="F187" s="7">
        <v>2866.2</v>
      </c>
      <c r="G187" s="8">
        <v>62.85</v>
      </c>
    </row>
    <row r="188" spans="1:7" x14ac:dyDescent="0.25">
      <c r="A188" s="5">
        <v>44652</v>
      </c>
      <c r="B188" s="6">
        <f t="shared" si="2"/>
        <v>2022</v>
      </c>
      <c r="C188" s="7">
        <v>145.44</v>
      </c>
      <c r="D188" s="7">
        <v>126.41</v>
      </c>
      <c r="E188" s="7">
        <v>114.36</v>
      </c>
      <c r="F188" s="7">
        <v>2924.59</v>
      </c>
      <c r="G188" s="8">
        <v>62.4</v>
      </c>
    </row>
    <row r="189" spans="1:7" x14ac:dyDescent="0.25">
      <c r="A189" s="5">
        <v>44682</v>
      </c>
      <c r="B189" s="6">
        <f t="shared" si="2"/>
        <v>2022</v>
      </c>
      <c r="C189" s="7">
        <v>150.94</v>
      </c>
      <c r="D189" s="7">
        <v>131.91</v>
      </c>
      <c r="E189" s="7">
        <v>119.86</v>
      </c>
      <c r="F189" s="7">
        <v>3176.88</v>
      </c>
      <c r="G189" s="8">
        <v>63.69</v>
      </c>
    </row>
    <row r="190" spans="1:7" x14ac:dyDescent="0.25">
      <c r="A190" s="5">
        <v>44713</v>
      </c>
      <c r="B190" s="6">
        <f t="shared" si="2"/>
        <v>2022</v>
      </c>
      <c r="C190" s="7">
        <v>159.94</v>
      </c>
      <c r="D190" s="7">
        <v>140.91</v>
      </c>
      <c r="E190" s="7">
        <v>128.86000000000001</v>
      </c>
      <c r="F190" s="7">
        <v>3218.22</v>
      </c>
      <c r="G190" s="8">
        <v>64.83</v>
      </c>
    </row>
    <row r="191" spans="1:7" x14ac:dyDescent="0.25">
      <c r="A191" s="5">
        <v>44743</v>
      </c>
      <c r="B191" s="6">
        <f t="shared" si="2"/>
        <v>2022</v>
      </c>
      <c r="C191" s="7">
        <v>159.94</v>
      </c>
      <c r="D191" s="7">
        <v>140.91</v>
      </c>
      <c r="E191" s="7">
        <v>128.86000000000001</v>
      </c>
      <c r="F191" s="7">
        <v>3100.67</v>
      </c>
      <c r="G191" s="8">
        <v>65.3</v>
      </c>
    </row>
    <row r="192" spans="1:7" x14ac:dyDescent="0.25">
      <c r="A192" s="5">
        <v>44774</v>
      </c>
      <c r="B192" s="6">
        <f t="shared" si="2"/>
        <v>2022</v>
      </c>
      <c r="C192" s="7">
        <v>159.94</v>
      </c>
      <c r="D192" s="7">
        <v>140.91</v>
      </c>
      <c r="E192" s="7">
        <v>128.86000000000001</v>
      </c>
      <c r="F192" s="7">
        <v>3103.17</v>
      </c>
      <c r="G192" s="8">
        <v>66.81</v>
      </c>
    </row>
    <row r="193" spans="1:7" x14ac:dyDescent="0.25">
      <c r="A193" s="5">
        <v>44805</v>
      </c>
      <c r="B193" s="6">
        <f t="shared" si="2"/>
        <v>2022</v>
      </c>
      <c r="C193" s="7">
        <v>180.05</v>
      </c>
      <c r="D193" s="7">
        <v>165.91</v>
      </c>
      <c r="E193" s="7">
        <v>148.86000000000001</v>
      </c>
      <c r="F193" s="7">
        <v>3106.66</v>
      </c>
      <c r="G193" s="8">
        <v>67.81</v>
      </c>
    </row>
    <row r="194" spans="1:7" x14ac:dyDescent="0.25">
      <c r="A194" s="5">
        <v>44835</v>
      </c>
      <c r="B194" s="6">
        <f t="shared" si="2"/>
        <v>2022</v>
      </c>
      <c r="C194" s="7">
        <v>179.06</v>
      </c>
      <c r="D194" s="7">
        <v>163.92</v>
      </c>
      <c r="E194" s="7">
        <v>147.87</v>
      </c>
      <c r="F194" s="7">
        <v>3083.99</v>
      </c>
      <c r="G194" s="8">
        <v>68.17</v>
      </c>
    </row>
    <row r="195" spans="1:7" x14ac:dyDescent="0.25">
      <c r="A195" s="5">
        <v>44866</v>
      </c>
      <c r="B195" s="6">
        <f t="shared" si="2"/>
        <v>2022</v>
      </c>
      <c r="C195" s="7">
        <v>178.05</v>
      </c>
      <c r="D195" s="7">
        <v>162.91</v>
      </c>
      <c r="E195" s="7">
        <v>146.86000000000001</v>
      </c>
      <c r="F195" s="7">
        <v>3004.75</v>
      </c>
      <c r="G195" s="8">
        <v>68</v>
      </c>
    </row>
    <row r="196" spans="1:7" x14ac:dyDescent="0.25">
      <c r="A196" s="5">
        <v>44896</v>
      </c>
      <c r="B196" s="6">
        <f t="shared" si="2"/>
        <v>2022</v>
      </c>
      <c r="C196" s="7">
        <v>178.05</v>
      </c>
      <c r="D196" s="7">
        <v>162.91</v>
      </c>
      <c r="E196" s="7">
        <v>146.86000000000001</v>
      </c>
      <c r="F196" s="7">
        <v>2980.8</v>
      </c>
      <c r="G196" s="8">
        <v>67.930000000000007</v>
      </c>
    </row>
    <row r="197" spans="1:7" x14ac:dyDescent="0.25">
      <c r="A197" s="5">
        <v>44927</v>
      </c>
      <c r="B197" s="6">
        <f t="shared" si="2"/>
        <v>2023</v>
      </c>
      <c r="C197" s="7">
        <v>178.05</v>
      </c>
      <c r="D197" s="7">
        <v>162.91</v>
      </c>
      <c r="E197" s="7">
        <v>146.86000000000001</v>
      </c>
      <c r="F197" s="7">
        <v>2961.93</v>
      </c>
      <c r="G197" s="8">
        <v>68.11</v>
      </c>
    </row>
    <row r="198" spans="1:7" x14ac:dyDescent="0.25">
      <c r="A198" s="5">
        <v>44958</v>
      </c>
      <c r="B198" s="6">
        <f t="shared" ref="B198:B232" si="3">YEAR(A198)</f>
        <v>2023</v>
      </c>
      <c r="C198" s="7">
        <v>178.05</v>
      </c>
      <c r="D198" s="7">
        <v>162.91</v>
      </c>
      <c r="E198" s="7">
        <v>146.86000000000001</v>
      </c>
      <c r="F198" s="7">
        <v>3101.94</v>
      </c>
      <c r="G198" s="8">
        <v>68.430000000000007</v>
      </c>
    </row>
    <row r="199" spans="1:7" x14ac:dyDescent="0.25">
      <c r="A199" s="5">
        <v>44986</v>
      </c>
      <c r="B199" s="6">
        <f t="shared" si="3"/>
        <v>2023</v>
      </c>
      <c r="C199" s="7">
        <v>180.05</v>
      </c>
      <c r="D199" s="7">
        <v>162.91</v>
      </c>
      <c r="E199" s="7">
        <v>146.86000000000001</v>
      </c>
      <c r="F199" s="7">
        <v>3137.7</v>
      </c>
      <c r="G199" s="8">
        <v>69.5</v>
      </c>
    </row>
    <row r="200" spans="1:7" x14ac:dyDescent="0.25">
      <c r="A200" s="5">
        <v>45017</v>
      </c>
      <c r="B200" s="6">
        <f t="shared" si="3"/>
        <v>2023</v>
      </c>
      <c r="C200" s="7">
        <v>180.05</v>
      </c>
      <c r="D200" s="7">
        <v>162.91</v>
      </c>
      <c r="E200" s="7">
        <v>146.86000000000001</v>
      </c>
      <c r="F200" s="7">
        <v>3135.39</v>
      </c>
      <c r="G200" s="8">
        <v>70.010000000000005</v>
      </c>
    </row>
    <row r="201" spans="1:7" x14ac:dyDescent="0.25">
      <c r="A201" s="5">
        <v>45047</v>
      </c>
      <c r="B201" s="6">
        <f t="shared" si="3"/>
        <v>2023</v>
      </c>
      <c r="C201" s="7">
        <v>183.29</v>
      </c>
      <c r="D201" s="7">
        <v>169.1</v>
      </c>
      <c r="E201" s="7">
        <v>161.83000000000001</v>
      </c>
      <c r="F201" s="7">
        <v>3125.4</v>
      </c>
      <c r="G201" s="8">
        <v>70.47</v>
      </c>
    </row>
    <row r="202" spans="1:7" x14ac:dyDescent="0.25">
      <c r="A202" s="5">
        <v>45078</v>
      </c>
      <c r="B202" s="6">
        <f t="shared" si="3"/>
        <v>2023</v>
      </c>
      <c r="C202" s="7">
        <v>182.63</v>
      </c>
      <c r="D202" s="7">
        <v>167.98</v>
      </c>
      <c r="E202" s="7">
        <v>162.19</v>
      </c>
      <c r="F202" s="7">
        <v>3069.01</v>
      </c>
      <c r="G202" s="8">
        <v>71.03</v>
      </c>
    </row>
    <row r="203" spans="1:7" x14ac:dyDescent="0.25">
      <c r="A203" s="5">
        <v>45108</v>
      </c>
      <c r="B203" s="6">
        <f t="shared" si="3"/>
        <v>2023</v>
      </c>
      <c r="C203" s="7">
        <v>195.32</v>
      </c>
      <c r="D203" s="7">
        <v>180.42</v>
      </c>
      <c r="E203" s="7">
        <v>170.25</v>
      </c>
      <c r="F203" s="7">
        <v>2787.83</v>
      </c>
      <c r="G203" s="8">
        <v>70.95</v>
      </c>
    </row>
    <row r="204" spans="1:7" x14ac:dyDescent="0.25">
      <c r="A204" s="5">
        <v>45139</v>
      </c>
      <c r="B204" s="6">
        <f t="shared" si="3"/>
        <v>2023</v>
      </c>
      <c r="C204" s="7">
        <v>195.32</v>
      </c>
      <c r="D204" s="7">
        <v>180.42</v>
      </c>
      <c r="E204" s="7">
        <v>170.25</v>
      </c>
      <c r="F204" s="7">
        <v>2709.07</v>
      </c>
      <c r="G204" s="8">
        <v>70.73</v>
      </c>
    </row>
    <row r="205" spans="1:7" x14ac:dyDescent="0.25">
      <c r="A205" s="5">
        <v>45170</v>
      </c>
      <c r="B205" s="6">
        <f t="shared" si="3"/>
        <v>2023</v>
      </c>
      <c r="C205" s="7">
        <v>212.25</v>
      </c>
      <c r="D205" s="7">
        <v>201.73</v>
      </c>
      <c r="E205" s="7">
        <v>203.34</v>
      </c>
      <c r="F205" s="7">
        <v>2795.69</v>
      </c>
      <c r="G205" s="8">
        <v>71.66</v>
      </c>
    </row>
    <row r="206" spans="1:7" x14ac:dyDescent="0.25">
      <c r="A206" s="5">
        <v>45200</v>
      </c>
      <c r="B206" s="6">
        <f t="shared" si="3"/>
        <v>2023</v>
      </c>
      <c r="C206" s="7">
        <v>217.97</v>
      </c>
      <c r="D206" s="7">
        <v>206.21</v>
      </c>
      <c r="E206" s="7">
        <v>205.79</v>
      </c>
      <c r="F206" s="7">
        <v>3000.04</v>
      </c>
      <c r="G206" s="8">
        <v>72.56</v>
      </c>
    </row>
    <row r="207" spans="1:7" x14ac:dyDescent="0.25">
      <c r="A207" s="5">
        <v>45231</v>
      </c>
      <c r="B207" s="6">
        <f t="shared" si="3"/>
        <v>2023</v>
      </c>
      <c r="C207" s="7">
        <v>217.97</v>
      </c>
      <c r="D207" s="7">
        <v>204.21</v>
      </c>
      <c r="E207" s="7">
        <v>203.79</v>
      </c>
      <c r="F207" s="7">
        <v>3031.82</v>
      </c>
      <c r="G207" s="8">
        <v>73.83</v>
      </c>
    </row>
    <row r="208" spans="1:7" x14ac:dyDescent="0.25">
      <c r="A208" s="147">
        <v>45261</v>
      </c>
      <c r="B208" s="6">
        <f t="shared" si="3"/>
        <v>2023</v>
      </c>
      <c r="C208" s="7">
        <v>212.97</v>
      </c>
      <c r="D208" s="7">
        <v>202.21</v>
      </c>
      <c r="E208" s="7">
        <v>199.78</v>
      </c>
      <c r="F208" s="7">
        <v>3032.62</v>
      </c>
      <c r="G208" s="8">
        <v>75.650000000000006</v>
      </c>
    </row>
    <row r="209" spans="1:7" x14ac:dyDescent="0.25">
      <c r="A209" s="147">
        <v>45292</v>
      </c>
      <c r="B209" s="6">
        <f t="shared" si="3"/>
        <v>2024</v>
      </c>
      <c r="C209" s="7">
        <v>207.97</v>
      </c>
      <c r="D209" s="7">
        <v>197.21</v>
      </c>
      <c r="E209" s="7">
        <v>194.96</v>
      </c>
      <c r="F209" s="7">
        <v>3055.51</v>
      </c>
      <c r="G209" s="8">
        <v>76.89</v>
      </c>
    </row>
    <row r="210" spans="1:7" x14ac:dyDescent="0.25">
      <c r="A210" s="147">
        <v>45323</v>
      </c>
      <c r="B210" s="6">
        <f t="shared" si="3"/>
        <v>2024</v>
      </c>
      <c r="C210" s="2">
        <v>206.97</v>
      </c>
      <c r="D210" s="2">
        <v>196.21</v>
      </c>
      <c r="E210" s="2">
        <v>193.96</v>
      </c>
      <c r="F210" s="10">
        <v>3187.1</v>
      </c>
      <c r="G210" s="11">
        <v>77.459999999999994</v>
      </c>
    </row>
    <row r="211" spans="1:7" x14ac:dyDescent="0.25">
      <c r="A211" s="147">
        <v>45352</v>
      </c>
      <c r="B211" s="6">
        <f t="shared" si="3"/>
        <v>2024</v>
      </c>
      <c r="C211" s="2">
        <v>199.77</v>
      </c>
      <c r="D211" s="2">
        <v>191.11</v>
      </c>
      <c r="E211" s="2">
        <v>189.48</v>
      </c>
      <c r="F211" s="10">
        <v>3231.84</v>
      </c>
      <c r="G211" s="11">
        <v>78.64</v>
      </c>
    </row>
    <row r="212" spans="1:7" x14ac:dyDescent="0.25">
      <c r="A212" s="147">
        <v>45383</v>
      </c>
      <c r="B212" s="6">
        <f t="shared" si="3"/>
        <v>2024</v>
      </c>
      <c r="C212" s="2">
        <v>194.46</v>
      </c>
      <c r="D212" s="2">
        <v>181.11</v>
      </c>
      <c r="E212" s="2">
        <v>171.18</v>
      </c>
      <c r="F212" s="10">
        <v>3242.11</v>
      </c>
      <c r="G212" s="11">
        <v>79.5</v>
      </c>
    </row>
    <row r="213" spans="1:7" x14ac:dyDescent="0.25">
      <c r="A213" s="147">
        <v>45413</v>
      </c>
      <c r="B213" s="6">
        <f t="shared" si="3"/>
        <v>2024</v>
      </c>
      <c r="C213" s="2">
        <v>193.46</v>
      </c>
      <c r="D213" s="2">
        <v>179.91</v>
      </c>
      <c r="E213" s="2">
        <v>169.52</v>
      </c>
      <c r="F213" s="10">
        <v>3221.29</v>
      </c>
      <c r="G213" s="11">
        <v>82.32</v>
      </c>
    </row>
    <row r="214" spans="1:7" x14ac:dyDescent="0.25">
      <c r="A214" s="147">
        <v>45444</v>
      </c>
      <c r="B214" s="6">
        <f t="shared" si="3"/>
        <v>2024</v>
      </c>
      <c r="C214" s="2">
        <v>190.46</v>
      </c>
      <c r="D214" s="2">
        <v>173.83</v>
      </c>
      <c r="E214" s="2">
        <v>163.82</v>
      </c>
      <c r="F214" s="10">
        <v>3213.97</v>
      </c>
      <c r="G214" s="11">
        <v>83.8</v>
      </c>
    </row>
    <row r="215" spans="1:7" x14ac:dyDescent="0.25">
      <c r="A215" s="147">
        <v>45474</v>
      </c>
      <c r="B215" s="6">
        <f t="shared" si="3"/>
        <v>2024</v>
      </c>
      <c r="C215" s="2">
        <v>189.46</v>
      </c>
      <c r="D215" s="2">
        <v>172.33</v>
      </c>
      <c r="E215" s="2">
        <v>162.52000000000001</v>
      </c>
      <c r="F215" s="10">
        <v>3219.58</v>
      </c>
      <c r="G215" s="11">
        <v>84.41</v>
      </c>
    </row>
    <row r="216" spans="1:7" x14ac:dyDescent="0.25">
      <c r="A216" s="147">
        <v>45505</v>
      </c>
      <c r="B216" s="6">
        <f t="shared" si="3"/>
        <v>2024</v>
      </c>
      <c r="C216" s="2">
        <v>189.46</v>
      </c>
      <c r="D216" s="2">
        <v>172.33</v>
      </c>
      <c r="E216" s="2">
        <v>162.52000000000001</v>
      </c>
      <c r="F216" s="10">
        <v>3217.85</v>
      </c>
      <c r="G216" s="11">
        <v>84.17</v>
      </c>
    </row>
    <row r="217" spans="1:7" x14ac:dyDescent="0.25">
      <c r="A217" s="147">
        <v>45536</v>
      </c>
      <c r="B217" s="6">
        <f t="shared" si="3"/>
        <v>2024</v>
      </c>
      <c r="C217" s="2">
        <v>189.46</v>
      </c>
      <c r="D217" s="2">
        <v>172.33</v>
      </c>
      <c r="E217" s="2">
        <v>159.1</v>
      </c>
      <c r="F217" s="10">
        <v>3196.04</v>
      </c>
      <c r="G217" s="11">
        <v>85.32</v>
      </c>
    </row>
    <row r="218" spans="1:7" x14ac:dyDescent="0.25">
      <c r="A218" s="147">
        <v>45566</v>
      </c>
      <c r="B218" s="6">
        <f t="shared" si="3"/>
        <v>2024</v>
      </c>
      <c r="C218" s="2">
        <v>181.33</v>
      </c>
      <c r="D218" s="2">
        <v>168.82</v>
      </c>
      <c r="E218" s="2">
        <v>152.18</v>
      </c>
      <c r="F218" s="10">
        <v>3183.29</v>
      </c>
      <c r="G218" s="11">
        <v>85.26</v>
      </c>
    </row>
    <row r="219" spans="1:7" x14ac:dyDescent="0.25">
      <c r="A219" s="147">
        <v>45597</v>
      </c>
      <c r="B219" s="6">
        <f t="shared" si="3"/>
        <v>2024</v>
      </c>
      <c r="C219" s="2">
        <v>181.33</v>
      </c>
      <c r="D219" s="2">
        <v>168.82</v>
      </c>
      <c r="E219" s="2">
        <v>152.18</v>
      </c>
      <c r="F219" s="10">
        <v>3147.66</v>
      </c>
      <c r="G219" s="11">
        <v>85.29</v>
      </c>
    </row>
    <row r="220" spans="1:7" x14ac:dyDescent="0.25">
      <c r="A220" s="147">
        <v>45627</v>
      </c>
      <c r="B220" s="6">
        <f t="shared" si="3"/>
        <v>2024</v>
      </c>
      <c r="C220" s="2">
        <v>176.96</v>
      </c>
      <c r="D220" s="2">
        <v>165.82</v>
      </c>
      <c r="E220" s="2">
        <v>149.18</v>
      </c>
      <c r="F220" s="10">
        <v>3143.85</v>
      </c>
      <c r="G220" s="11">
        <v>85.66</v>
      </c>
    </row>
    <row r="221" spans="1:7" x14ac:dyDescent="0.25">
      <c r="A221" s="147">
        <v>45658</v>
      </c>
      <c r="B221" s="6">
        <f t="shared" si="3"/>
        <v>2025</v>
      </c>
      <c r="C221" s="2">
        <v>177.25</v>
      </c>
      <c r="D221" s="2">
        <v>167.84</v>
      </c>
      <c r="E221" s="2">
        <v>152.18</v>
      </c>
      <c r="F221" s="10">
        <v>3122.16</v>
      </c>
      <c r="G221" s="11">
        <v>86.22</v>
      </c>
    </row>
    <row r="222" spans="1:7" x14ac:dyDescent="0.25">
      <c r="A222" s="147">
        <v>45689</v>
      </c>
      <c r="B222" s="6">
        <f t="shared" si="3"/>
        <v>2025</v>
      </c>
      <c r="C222" s="2">
        <v>177.25</v>
      </c>
      <c r="D222" s="2">
        <v>167.84</v>
      </c>
      <c r="E222" s="2">
        <v>152.18</v>
      </c>
      <c r="F222" s="10">
        <v>3139.65</v>
      </c>
      <c r="G222" s="11">
        <v>86.51</v>
      </c>
    </row>
    <row r="223" spans="1:7" x14ac:dyDescent="0.25">
      <c r="A223" s="147">
        <v>45717</v>
      </c>
      <c r="B223" s="6">
        <f t="shared" si="3"/>
        <v>2025</v>
      </c>
      <c r="C223" s="2">
        <v>177.25</v>
      </c>
      <c r="D223" s="2">
        <v>167.84</v>
      </c>
      <c r="E223" s="2">
        <v>152.18</v>
      </c>
      <c r="F223" s="10">
        <v>3146.03</v>
      </c>
      <c r="G223" s="11">
        <v>86.64</v>
      </c>
    </row>
    <row r="224" spans="1:7" x14ac:dyDescent="0.25">
      <c r="A224" s="147">
        <v>45748</v>
      </c>
      <c r="B224" s="6">
        <f t="shared" si="3"/>
        <v>2025</v>
      </c>
      <c r="C224" s="2">
        <v>175.3</v>
      </c>
      <c r="D224" s="2">
        <v>165.64</v>
      </c>
      <c r="E224" s="2">
        <v>149.78</v>
      </c>
      <c r="F224" s="10">
        <v>3156.19</v>
      </c>
      <c r="G224" s="11">
        <v>86.72</v>
      </c>
    </row>
    <row r="225" spans="1:7" x14ac:dyDescent="0.25">
      <c r="A225" s="147">
        <v>45778</v>
      </c>
      <c r="B225" s="6">
        <f t="shared" si="3"/>
        <v>2025</v>
      </c>
      <c r="C225" s="2">
        <v>175.3</v>
      </c>
      <c r="D225" s="2">
        <v>165.64</v>
      </c>
      <c r="E225" s="2">
        <v>149.78</v>
      </c>
      <c r="F225" s="10">
        <v>3141.3</v>
      </c>
      <c r="G225" s="11">
        <v>88.01</v>
      </c>
    </row>
    <row r="226" spans="1:7" x14ac:dyDescent="0.25">
      <c r="A226" s="147">
        <v>45809</v>
      </c>
      <c r="B226" s="6">
        <f t="shared" si="3"/>
        <v>2025</v>
      </c>
      <c r="C226" s="2">
        <v>178.19</v>
      </c>
      <c r="D226" s="2">
        <v>163.89</v>
      </c>
      <c r="E226" s="2">
        <v>147.91999999999999</v>
      </c>
      <c r="F226" s="10">
        <v>3134.91</v>
      </c>
      <c r="G226" s="11">
        <v>88.89</v>
      </c>
    </row>
    <row r="227" spans="1:7" x14ac:dyDescent="0.25">
      <c r="A227" s="147">
        <v>45839</v>
      </c>
      <c r="B227" s="6">
        <f t="shared" si="3"/>
        <v>2025</v>
      </c>
      <c r="C227" s="2">
        <v>187.37</v>
      </c>
      <c r="D227" s="2">
        <v>172.75</v>
      </c>
      <c r="E227" s="2">
        <v>157.76</v>
      </c>
      <c r="F227" s="10">
        <v>3146.58</v>
      </c>
      <c r="G227" s="11">
        <v>89.84</v>
      </c>
    </row>
    <row r="228" spans="1:7" x14ac:dyDescent="0.25">
      <c r="A228" s="147">
        <v>45870</v>
      </c>
      <c r="B228" s="6">
        <f t="shared" si="3"/>
        <v>2025</v>
      </c>
      <c r="C228" s="2">
        <v>186.37</v>
      </c>
      <c r="D228" s="2">
        <v>172.75</v>
      </c>
      <c r="E228" s="2">
        <v>156.76</v>
      </c>
      <c r="F228" s="10">
        <v>3158.35</v>
      </c>
      <c r="G228" s="11">
        <v>89.83</v>
      </c>
    </row>
    <row r="229" spans="1:7" x14ac:dyDescent="0.25">
      <c r="A229" s="147">
        <v>45901</v>
      </c>
      <c r="B229" s="6">
        <f t="shared" si="3"/>
        <v>2025</v>
      </c>
      <c r="C229" s="2">
        <v>185.59</v>
      </c>
      <c r="D229" s="2">
        <v>172.64</v>
      </c>
      <c r="E229" s="2">
        <v>155.96</v>
      </c>
      <c r="F229" s="10">
        <v>3151.65</v>
      </c>
      <c r="G229" s="11">
        <v>92.87</v>
      </c>
    </row>
    <row r="230" spans="1:7" x14ac:dyDescent="0.25">
      <c r="A230" s="147">
        <v>45931</v>
      </c>
      <c r="B230" s="6">
        <f t="shared" si="3"/>
        <v>2025</v>
      </c>
      <c r="C230" s="2">
        <v>185.59</v>
      </c>
      <c r="D230" s="2">
        <v>172.64</v>
      </c>
      <c r="E230" s="2">
        <v>155.96</v>
      </c>
      <c r="F230" s="10">
        <v>3133.49</v>
      </c>
      <c r="G230" s="11">
        <v>92.78</v>
      </c>
    </row>
    <row r="231" spans="1:7" x14ac:dyDescent="0.25">
      <c r="A231" s="147">
        <v>45962</v>
      </c>
      <c r="B231" s="6">
        <f t="shared" si="3"/>
        <v>2025</v>
      </c>
      <c r="C231" s="2">
        <v>185.59</v>
      </c>
      <c r="D231" s="2">
        <v>172.64</v>
      </c>
      <c r="E231" s="2">
        <v>155.96</v>
      </c>
      <c r="F231" s="10">
        <v>3132.93</v>
      </c>
      <c r="G231" s="11">
        <v>92.91</v>
      </c>
    </row>
    <row r="232" spans="1:7" x14ac:dyDescent="0.25">
      <c r="A232" s="147">
        <v>45992</v>
      </c>
      <c r="B232" s="6">
        <f t="shared" si="3"/>
        <v>2025</v>
      </c>
      <c r="C232" s="2">
        <v>185.59</v>
      </c>
      <c r="D232" s="2">
        <v>172.64</v>
      </c>
      <c r="E232" s="2">
        <v>155.96</v>
      </c>
      <c r="F232" s="10">
        <v>3145.9</v>
      </c>
      <c r="G232" s="11">
        <v>93.31</v>
      </c>
    </row>
    <row r="233" spans="1:7" x14ac:dyDescent="0.25">
      <c r="A233" s="147">
        <v>46023</v>
      </c>
      <c r="B233" s="6"/>
      <c r="F233" s="10"/>
      <c r="G233" s="11"/>
    </row>
    <row r="234" spans="1:7" x14ac:dyDescent="0.25">
      <c r="A234" s="147"/>
      <c r="B234" s="6"/>
      <c r="F234" s="10"/>
      <c r="G234" s="11"/>
    </row>
    <row r="235" spans="1:7" x14ac:dyDescent="0.25">
      <c r="A235" s="147"/>
      <c r="B235" s="6"/>
      <c r="F235" s="10"/>
      <c r="G235" s="11"/>
    </row>
    <row r="236" spans="1:7" x14ac:dyDescent="0.25">
      <c r="A236" s="147"/>
      <c r="B236" s="6"/>
      <c r="F236" s="10"/>
      <c r="G236" s="11"/>
    </row>
    <row r="237" spans="1:7" x14ac:dyDescent="0.25">
      <c r="A237" s="147"/>
      <c r="B237" s="6"/>
      <c r="F237" s="10"/>
      <c r="G237" s="11"/>
    </row>
  </sheetData>
  <mergeCells count="7">
    <mergeCell ref="A2:A4"/>
    <mergeCell ref="B2:B4"/>
    <mergeCell ref="F2:F4"/>
    <mergeCell ref="G2:G4"/>
    <mergeCell ref="C2:C4"/>
    <mergeCell ref="D2:D4"/>
    <mergeCell ref="E2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FA65-CF68-4596-8A36-E9740D2B79B6}">
  <dimension ref="B1:G39"/>
  <sheetViews>
    <sheetView topLeftCell="A27" workbookViewId="0">
      <selection sqref="A1:XFD39"/>
    </sheetView>
  </sheetViews>
  <sheetFormatPr defaultRowHeight="14.5" x14ac:dyDescent="0.35"/>
  <sheetData>
    <row r="1" spans="2:7" s="1" customFormat="1" ht="11.5" x14ac:dyDescent="0.25"/>
    <row r="2" spans="2:7" s="1" customFormat="1" ht="57.5" x14ac:dyDescent="0.25">
      <c r="B2" s="25" t="s">
        <v>5</v>
      </c>
      <c r="C2" s="25" t="s">
        <v>6</v>
      </c>
      <c r="D2" s="25" t="s">
        <v>7</v>
      </c>
      <c r="E2" s="25" t="s">
        <v>8</v>
      </c>
      <c r="F2" s="25" t="s">
        <v>9</v>
      </c>
      <c r="G2" s="25" t="s">
        <v>10</v>
      </c>
    </row>
    <row r="3" spans="2:7" s="1" customFormat="1" ht="11.5" x14ac:dyDescent="0.25">
      <c r="B3" s="3">
        <v>39083</v>
      </c>
      <c r="C3" s="7">
        <v>225.05</v>
      </c>
      <c r="D3" s="7">
        <v>217.85</v>
      </c>
      <c r="E3" s="7">
        <v>220.72</v>
      </c>
      <c r="F3" s="7">
        <v>9.6999999999999993</v>
      </c>
      <c r="G3" s="7">
        <v>6.4</v>
      </c>
    </row>
    <row r="4" spans="2:7" s="1" customFormat="1" ht="11.5" x14ac:dyDescent="0.25">
      <c r="B4" s="3">
        <v>39114</v>
      </c>
      <c r="C4" s="7">
        <v>228.18</v>
      </c>
      <c r="D4" s="7">
        <v>220.53</v>
      </c>
      <c r="E4" s="7">
        <v>223.59</v>
      </c>
      <c r="F4" s="7">
        <v>6.8</v>
      </c>
      <c r="G4" s="7">
        <v>6.1</v>
      </c>
    </row>
    <row r="5" spans="2:7" s="1" customFormat="1" ht="11.5" x14ac:dyDescent="0.25">
      <c r="B5" s="3">
        <v>39142</v>
      </c>
      <c r="C5" s="7">
        <v>228.38</v>
      </c>
      <c r="D5" s="7">
        <v>223.26</v>
      </c>
      <c r="E5" s="7">
        <v>225.3</v>
      </c>
      <c r="F5" s="7">
        <v>5.9</v>
      </c>
      <c r="G5" s="7">
        <v>6.1</v>
      </c>
    </row>
    <row r="6" spans="2:7" s="1" customFormat="1" ht="11.5" x14ac:dyDescent="0.25">
      <c r="B6" s="3">
        <v>39173</v>
      </c>
      <c r="C6" s="7">
        <v>222.93</v>
      </c>
      <c r="D6" s="7">
        <v>222.39</v>
      </c>
      <c r="E6" s="7">
        <v>222.61</v>
      </c>
      <c r="F6" s="7">
        <v>5.7</v>
      </c>
      <c r="G6" s="7">
        <v>5.9</v>
      </c>
    </row>
    <row r="7" spans="2:7" s="1" customFormat="1" ht="11.5" x14ac:dyDescent="0.25">
      <c r="B7" s="3">
        <v>39203</v>
      </c>
      <c r="C7" s="7">
        <v>231.39</v>
      </c>
      <c r="D7" s="7">
        <v>222.13</v>
      </c>
      <c r="E7" s="7">
        <v>221.83</v>
      </c>
      <c r="F7" s="7">
        <v>6.3</v>
      </c>
      <c r="G7" s="7">
        <v>5.7</v>
      </c>
    </row>
    <row r="8" spans="2:7" s="1" customFormat="1" ht="11.5" x14ac:dyDescent="0.25">
      <c r="B8" s="3">
        <v>39234</v>
      </c>
      <c r="C8" s="7">
        <v>224.91</v>
      </c>
      <c r="D8" s="7">
        <v>224.95</v>
      </c>
      <c r="E8" s="7">
        <v>224.93</v>
      </c>
      <c r="F8" s="7">
        <v>11.1</v>
      </c>
      <c r="G8" s="7">
        <v>5.2</v>
      </c>
    </row>
    <row r="9" spans="2:7" s="1" customFormat="1" ht="11.5" x14ac:dyDescent="0.25">
      <c r="B9" s="3">
        <v>39264</v>
      </c>
      <c r="C9" s="7">
        <v>226.53</v>
      </c>
      <c r="D9" s="7">
        <v>226.6</v>
      </c>
      <c r="E9" s="7">
        <v>226.57</v>
      </c>
      <c r="F9" s="7">
        <v>13.6</v>
      </c>
      <c r="G9" s="7">
        <v>5.6</v>
      </c>
    </row>
    <row r="10" spans="2:7" s="1" customFormat="1" ht="11.5" x14ac:dyDescent="0.25">
      <c r="B10" s="3">
        <v>39295</v>
      </c>
      <c r="C10" s="7">
        <v>227.64</v>
      </c>
      <c r="D10" s="7">
        <v>224.56</v>
      </c>
      <c r="E10" s="7">
        <v>225.79</v>
      </c>
      <c r="F10" s="7">
        <v>12.4</v>
      </c>
      <c r="G10" s="7">
        <v>5.2</v>
      </c>
    </row>
    <row r="11" spans="2:7" s="1" customFormat="1" ht="11.5" x14ac:dyDescent="0.25">
      <c r="B11" s="3">
        <v>39326</v>
      </c>
      <c r="C11" s="7">
        <v>230.29</v>
      </c>
      <c r="D11" s="7">
        <v>226.74</v>
      </c>
      <c r="E11" s="7">
        <v>228.16</v>
      </c>
      <c r="F11" s="7">
        <v>11.7</v>
      </c>
      <c r="G11" s="7">
        <v>5.0999999999999996</v>
      </c>
    </row>
    <row r="12" spans="2:7" s="1" customFormat="1" ht="11.5" x14ac:dyDescent="0.25">
      <c r="B12" s="3">
        <v>39356</v>
      </c>
      <c r="C12" s="7">
        <v>230.93</v>
      </c>
      <c r="D12" s="7">
        <v>229.37</v>
      </c>
      <c r="E12" s="7">
        <v>229.99</v>
      </c>
      <c r="F12" s="7">
        <v>10.6</v>
      </c>
      <c r="G12" s="7">
        <v>5.2</v>
      </c>
    </row>
    <row r="13" spans="2:7" s="1" customFormat="1" ht="11.5" x14ac:dyDescent="0.25">
      <c r="B13" s="3">
        <v>39387</v>
      </c>
      <c r="C13" s="7">
        <v>233.73</v>
      </c>
      <c r="D13" s="7">
        <v>232.99</v>
      </c>
      <c r="E13" s="7">
        <v>233.28</v>
      </c>
      <c r="F13" s="7">
        <v>11.8</v>
      </c>
      <c r="G13" s="7">
        <v>5.8</v>
      </c>
    </row>
    <row r="14" spans="2:7" s="1" customFormat="1" ht="11.5" x14ac:dyDescent="0.25">
      <c r="B14" s="3">
        <v>39417</v>
      </c>
      <c r="C14" s="7">
        <v>242.14</v>
      </c>
      <c r="D14" s="7">
        <v>238.26</v>
      </c>
      <c r="E14" s="7">
        <v>239.81</v>
      </c>
      <c r="F14" s="7">
        <v>12</v>
      </c>
      <c r="G14" s="7">
        <v>5.9</v>
      </c>
    </row>
    <row r="15" spans="2:7" s="1" customFormat="1" ht="11.5" x14ac:dyDescent="0.25">
      <c r="B15" s="3">
        <v>39448</v>
      </c>
      <c r="C15" s="7">
        <v>266.27999999999997</v>
      </c>
      <c r="D15" s="7">
        <v>257.39</v>
      </c>
      <c r="E15" s="7">
        <v>260.94</v>
      </c>
      <c r="F15" s="7">
        <v>18.2</v>
      </c>
      <c r="G15" s="7">
        <v>7.6</v>
      </c>
    </row>
    <row r="16" spans="2:7" s="1" customFormat="1" ht="11.5" x14ac:dyDescent="0.25">
      <c r="B16" s="3">
        <v>39479</v>
      </c>
      <c r="C16" s="7">
        <v>267.04000000000002</v>
      </c>
      <c r="D16" s="7">
        <v>265.92</v>
      </c>
      <c r="E16" s="7">
        <v>266.37</v>
      </c>
      <c r="F16" s="7">
        <v>19.100000000000001</v>
      </c>
      <c r="G16" s="7">
        <v>9.3000000000000007</v>
      </c>
    </row>
    <row r="17" spans="2:7" s="1" customFormat="1" ht="11.5" x14ac:dyDescent="0.25">
      <c r="B17" s="3">
        <v>39508</v>
      </c>
      <c r="C17" s="7">
        <v>277.61</v>
      </c>
      <c r="D17" s="7">
        <v>274.39999999999998</v>
      </c>
      <c r="E17" s="7">
        <v>274.55</v>
      </c>
      <c r="F17" s="7">
        <v>21.8</v>
      </c>
      <c r="G17" s="7">
        <v>9.8000000000000007</v>
      </c>
    </row>
    <row r="18" spans="2:7" s="1" customFormat="1" ht="11.5" x14ac:dyDescent="0.25">
      <c r="B18" s="3">
        <v>39539</v>
      </c>
      <c r="C18" s="7">
        <v>282.38</v>
      </c>
      <c r="D18" s="7">
        <v>281.55</v>
      </c>
      <c r="E18" s="7">
        <v>281.88</v>
      </c>
      <c r="F18" s="7">
        <v>26.6</v>
      </c>
      <c r="G18" s="7">
        <v>9.6</v>
      </c>
    </row>
    <row r="19" spans="2:7" s="1" customFormat="1" ht="11.5" x14ac:dyDescent="0.25">
      <c r="B19" s="3">
        <v>39569</v>
      </c>
      <c r="C19" s="7">
        <v>293.43</v>
      </c>
      <c r="D19" s="7">
        <v>290.69</v>
      </c>
      <c r="E19" s="7">
        <v>291.79000000000002</v>
      </c>
      <c r="F19" s="7">
        <v>31.5</v>
      </c>
      <c r="G19" s="7">
        <v>10.5</v>
      </c>
    </row>
    <row r="20" spans="2:7" s="1" customFormat="1" ht="11.5" x14ac:dyDescent="0.25">
      <c r="B20" s="3">
        <v>39600</v>
      </c>
      <c r="C20" s="7">
        <v>287.08999999999997</v>
      </c>
      <c r="D20" s="7">
        <v>293.17</v>
      </c>
      <c r="E20" s="7">
        <v>290.75</v>
      </c>
      <c r="F20" s="7">
        <v>29.3</v>
      </c>
      <c r="G20" s="7">
        <v>11.2</v>
      </c>
    </row>
    <row r="21" spans="2:7" s="1" customFormat="1" ht="11.5" x14ac:dyDescent="0.25">
      <c r="B21" s="3">
        <v>39630</v>
      </c>
      <c r="C21" s="7">
        <v>285.14999999999998</v>
      </c>
      <c r="D21" s="7">
        <v>287.60000000000002</v>
      </c>
      <c r="E21" s="7">
        <v>286.62</v>
      </c>
      <c r="F21" s="7">
        <v>26.5</v>
      </c>
      <c r="G21" s="7">
        <v>12.2</v>
      </c>
    </row>
    <row r="22" spans="2:7" s="1" customFormat="1" ht="11.5" x14ac:dyDescent="0.25">
      <c r="B22" s="3">
        <v>39661</v>
      </c>
      <c r="C22" s="7">
        <v>286.94</v>
      </c>
      <c r="D22" s="7">
        <v>288.8</v>
      </c>
      <c r="E22" s="7">
        <v>288.06</v>
      </c>
      <c r="F22" s="7">
        <v>27.6</v>
      </c>
      <c r="G22" s="7">
        <v>13.1</v>
      </c>
    </row>
    <row r="23" spans="2:7" s="1" customFormat="1" ht="11.5" x14ac:dyDescent="0.25">
      <c r="B23" s="3">
        <v>39692</v>
      </c>
      <c r="C23" s="7">
        <v>293.64999999999998</v>
      </c>
      <c r="D23" s="7">
        <v>291.86</v>
      </c>
      <c r="E23" s="7">
        <v>292.57</v>
      </c>
      <c r="F23" s="7">
        <v>28.2</v>
      </c>
      <c r="G23" s="7">
        <v>13.3</v>
      </c>
    </row>
    <row r="24" spans="2:7" s="1" customFormat="1" ht="11.5" x14ac:dyDescent="0.25">
      <c r="B24" s="3">
        <v>39722</v>
      </c>
      <c r="C24" s="7">
        <v>297.14999999999998</v>
      </c>
      <c r="D24" s="7">
        <v>294.2</v>
      </c>
      <c r="E24" s="7">
        <v>295.38</v>
      </c>
      <c r="F24" s="7">
        <v>28.4</v>
      </c>
      <c r="G24" s="7">
        <v>13</v>
      </c>
    </row>
    <row r="25" spans="2:7" s="1" customFormat="1" ht="11.5" x14ac:dyDescent="0.25">
      <c r="B25" s="3">
        <v>39753</v>
      </c>
      <c r="C25" s="7">
        <v>302.93</v>
      </c>
      <c r="D25" s="7">
        <v>301.04000000000002</v>
      </c>
      <c r="E25" s="7">
        <v>301.79000000000002</v>
      </c>
      <c r="F25" s="7">
        <v>29.4</v>
      </c>
      <c r="G25" s="7">
        <v>12.3</v>
      </c>
    </row>
    <row r="26" spans="2:7" s="1" customFormat="1" ht="11.5" x14ac:dyDescent="0.25">
      <c r="B26" s="3">
        <v>39783</v>
      </c>
      <c r="C26" s="7">
        <v>308.18</v>
      </c>
      <c r="D26" s="7">
        <v>305.01</v>
      </c>
      <c r="E26" s="7">
        <v>306.27999999999997</v>
      </c>
      <c r="F26" s="7">
        <v>27.7</v>
      </c>
      <c r="G26" s="7">
        <v>10.6</v>
      </c>
    </row>
    <row r="27" spans="2:7" s="1" customFormat="1" ht="11.5" x14ac:dyDescent="0.25">
      <c r="B27" s="3">
        <v>39814</v>
      </c>
      <c r="C27" s="7">
        <v>138.4</v>
      </c>
      <c r="D27" s="7">
        <v>133.69999999999999</v>
      </c>
      <c r="E27" s="7">
        <v>135.6</v>
      </c>
      <c r="F27" s="7">
        <v>13.3</v>
      </c>
      <c r="G27" s="7">
        <v>7.4</v>
      </c>
    </row>
    <row r="28" spans="2:7" s="1" customFormat="1" ht="11.5" x14ac:dyDescent="0.25">
      <c r="B28" s="3">
        <v>39845</v>
      </c>
      <c r="C28" s="7">
        <v>141.80000000000001</v>
      </c>
      <c r="D28" s="7">
        <v>137.1</v>
      </c>
      <c r="E28" s="7">
        <v>139</v>
      </c>
      <c r="F28" s="7">
        <v>14.6</v>
      </c>
      <c r="G28" s="7">
        <v>7.6</v>
      </c>
    </row>
    <row r="29" spans="2:7" s="1" customFormat="1" ht="11.5" x14ac:dyDescent="0.25">
      <c r="B29" s="3">
        <v>39873</v>
      </c>
      <c r="C29" s="7">
        <v>143.9</v>
      </c>
      <c r="D29" s="7">
        <v>138.19999999999999</v>
      </c>
      <c r="E29" s="7">
        <v>140.5</v>
      </c>
      <c r="F29" s="7">
        <v>14.6</v>
      </c>
      <c r="G29" s="7">
        <v>7.3</v>
      </c>
    </row>
    <row r="30" spans="2:7" s="1" customFormat="1" ht="11.5" x14ac:dyDescent="0.25">
      <c r="B30" s="3">
        <v>39904</v>
      </c>
      <c r="C30" s="7">
        <v>144.1</v>
      </c>
      <c r="D30" s="7">
        <v>140.5</v>
      </c>
      <c r="E30" s="7">
        <v>141.9</v>
      </c>
      <c r="F30" s="7">
        <v>12.4</v>
      </c>
      <c r="G30" s="7">
        <v>7.1</v>
      </c>
    </row>
    <row r="31" spans="2:7" s="1" customFormat="1" ht="11.5" x14ac:dyDescent="0.25">
      <c r="B31" s="3">
        <v>39934</v>
      </c>
      <c r="C31" s="7">
        <v>142.69999999999999</v>
      </c>
      <c r="D31" s="7">
        <v>140.1</v>
      </c>
      <c r="E31" s="7">
        <v>141.19999999999999</v>
      </c>
      <c r="F31" s="7">
        <v>9.6</v>
      </c>
      <c r="G31" s="7">
        <v>5.9</v>
      </c>
    </row>
    <row r="32" spans="2:7" s="1" customFormat="1" ht="11.5" x14ac:dyDescent="0.25">
      <c r="B32" s="3">
        <v>39965</v>
      </c>
      <c r="C32" s="7">
        <v>140</v>
      </c>
      <c r="D32" s="7">
        <v>140.30000000000001</v>
      </c>
      <c r="E32" s="7">
        <v>140.19999999999999</v>
      </c>
      <c r="F32" s="7">
        <v>8.6</v>
      </c>
      <c r="G32" s="7">
        <v>5.0999999999999996</v>
      </c>
    </row>
    <row r="33" spans="2:7" s="1" customFormat="1" ht="11.5" x14ac:dyDescent="0.25">
      <c r="B33" s="3">
        <v>39995</v>
      </c>
      <c r="C33" s="7">
        <v>138.69999999999999</v>
      </c>
      <c r="D33" s="7">
        <v>140.5</v>
      </c>
      <c r="E33" s="7">
        <v>139.80000000000001</v>
      </c>
      <c r="F33" s="7">
        <v>8.4</v>
      </c>
      <c r="G33" s="7">
        <v>4.0999999999999996</v>
      </c>
    </row>
    <row r="34" spans="2:7" s="1" customFormat="1" ht="11.5" x14ac:dyDescent="0.25">
      <c r="B34" s="3">
        <v>40026</v>
      </c>
      <c r="C34" s="7">
        <v>139.30000000000001</v>
      </c>
      <c r="D34" s="7">
        <v>140.4</v>
      </c>
      <c r="E34" s="7">
        <v>139.9</v>
      </c>
      <c r="F34" s="7">
        <v>7.3</v>
      </c>
      <c r="G34" s="7">
        <v>3.3</v>
      </c>
    </row>
    <row r="35" spans="2:7" s="1" customFormat="1" ht="11.5" x14ac:dyDescent="0.25">
      <c r="B35" s="3">
        <v>40057</v>
      </c>
      <c r="C35" s="7">
        <v>139.80000000000001</v>
      </c>
      <c r="D35" s="7">
        <v>141</v>
      </c>
      <c r="E35" s="7">
        <v>140.5</v>
      </c>
      <c r="F35" s="7">
        <v>6.7</v>
      </c>
      <c r="G35" s="7">
        <v>3</v>
      </c>
    </row>
    <row r="36" spans="2:7" s="1" customFormat="1" ht="11.5" x14ac:dyDescent="0.25">
      <c r="B36" s="3">
        <v>40087</v>
      </c>
      <c r="C36" s="7">
        <v>141.30000000000001</v>
      </c>
      <c r="D36" s="7">
        <v>141.19999999999999</v>
      </c>
      <c r="E36" s="7">
        <v>141.19999999999999</v>
      </c>
      <c r="F36" s="7">
        <v>6.6</v>
      </c>
      <c r="G36" s="7">
        <v>3.4</v>
      </c>
    </row>
    <row r="37" spans="2:7" s="1" customFormat="1" ht="11.5" x14ac:dyDescent="0.25">
      <c r="B37" s="3">
        <v>40118</v>
      </c>
      <c r="C37" s="7">
        <v>141.30000000000001</v>
      </c>
      <c r="D37" s="7">
        <v>141.19999999999999</v>
      </c>
      <c r="E37" s="7">
        <v>141.19999999999999</v>
      </c>
      <c r="F37" s="7">
        <v>5</v>
      </c>
      <c r="G37" s="7">
        <v>3.7</v>
      </c>
    </row>
    <row r="38" spans="2:7" s="1" customFormat="1" ht="11.5" x14ac:dyDescent="0.25">
      <c r="B38" s="3">
        <v>40148</v>
      </c>
      <c r="C38" s="7">
        <v>142</v>
      </c>
      <c r="D38" s="7">
        <v>141.69999999999999</v>
      </c>
      <c r="E38" s="7">
        <v>141.5</v>
      </c>
      <c r="F38" s="7">
        <v>5.3</v>
      </c>
      <c r="G38" s="7">
        <v>4.7</v>
      </c>
    </row>
    <row r="39" spans="2:7" s="1" customFormat="1" ht="11.5" x14ac:dyDescent="0.25">
      <c r="C39" s="21"/>
      <c r="D39" s="21"/>
      <c r="E39" s="21"/>
      <c r="F39" s="21"/>
      <c r="G39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A04C-9E5B-455D-814E-30F3906F2CF5}">
  <dimension ref="B1:H210"/>
  <sheetViews>
    <sheetView workbookViewId="0">
      <pane ySplit="2" topLeftCell="A183" activePane="bottomLeft" state="frozen"/>
      <selection pane="bottomLeft" activeCell="D192" sqref="D192"/>
    </sheetView>
  </sheetViews>
  <sheetFormatPr defaultRowHeight="11.5" x14ac:dyDescent="0.25"/>
  <cols>
    <col min="1" max="2" width="8.7265625" style="1"/>
    <col min="3" max="3" width="15.6328125" style="1" customWidth="1"/>
    <col min="4" max="4" width="19.54296875" style="1" customWidth="1"/>
    <col min="5" max="5" width="19.1796875" style="1" customWidth="1"/>
    <col min="6" max="6" width="23.1796875" style="1" customWidth="1"/>
    <col min="7" max="7" width="16.6328125" style="1" customWidth="1"/>
    <col min="8" max="8" width="25.54296875" style="1" bestFit="1" customWidth="1"/>
    <col min="9" max="16384" width="8.7265625" style="1"/>
  </cols>
  <sheetData>
    <row r="1" spans="2:8" x14ac:dyDescent="0.25">
      <c r="H1" s="1" t="s">
        <v>79</v>
      </c>
    </row>
    <row r="2" spans="2:8" ht="23" x14ac:dyDescent="0.25">
      <c r="B2" s="26" t="s">
        <v>5</v>
      </c>
      <c r="C2" s="26" t="s">
        <v>73</v>
      </c>
      <c r="D2" s="26" t="s">
        <v>74</v>
      </c>
      <c r="E2" s="26" t="s">
        <v>75</v>
      </c>
      <c r="F2" s="26" t="s">
        <v>76</v>
      </c>
      <c r="G2" s="26" t="s">
        <v>77</v>
      </c>
      <c r="H2" s="26" t="s">
        <v>78</v>
      </c>
    </row>
    <row r="3" spans="2:8" x14ac:dyDescent="0.25">
      <c r="B3" s="3">
        <v>40148</v>
      </c>
      <c r="C3" s="7">
        <v>104.59</v>
      </c>
      <c r="D3" s="7">
        <v>102.71</v>
      </c>
      <c r="E3" s="7">
        <v>104.26</v>
      </c>
      <c r="F3" s="7">
        <v>104.69</v>
      </c>
      <c r="G3" s="7">
        <v>104.64</v>
      </c>
      <c r="H3" s="7">
        <v>104.66</v>
      </c>
    </row>
    <row r="4" spans="2:8" x14ac:dyDescent="0.25">
      <c r="B4" s="3">
        <v>40179</v>
      </c>
      <c r="C4" s="7">
        <v>105.6</v>
      </c>
      <c r="D4" s="7">
        <v>102.93</v>
      </c>
      <c r="E4" s="7">
        <v>105.51</v>
      </c>
      <c r="F4" s="7">
        <v>104.95</v>
      </c>
      <c r="G4" s="7">
        <v>104.84</v>
      </c>
      <c r="H4" s="7">
        <v>104.89</v>
      </c>
    </row>
    <row r="5" spans="2:8" x14ac:dyDescent="0.25">
      <c r="B5" s="3">
        <v>40210</v>
      </c>
      <c r="C5" s="7">
        <v>106.16</v>
      </c>
      <c r="D5" s="7">
        <v>102.95</v>
      </c>
      <c r="E5" s="7">
        <v>105.56</v>
      </c>
      <c r="F5" s="7">
        <v>105.36</v>
      </c>
      <c r="G5" s="7">
        <v>105.05</v>
      </c>
      <c r="H5" s="7">
        <v>105.18</v>
      </c>
    </row>
    <row r="6" spans="2:8" x14ac:dyDescent="0.25">
      <c r="B6" s="3">
        <v>40238</v>
      </c>
      <c r="C6" s="7">
        <v>105.78</v>
      </c>
      <c r="D6" s="7">
        <v>103.34</v>
      </c>
      <c r="E6" s="7">
        <v>106.23</v>
      </c>
      <c r="F6" s="7">
        <v>105.21</v>
      </c>
      <c r="G6" s="7">
        <v>104.8</v>
      </c>
      <c r="H6" s="7">
        <v>104.97</v>
      </c>
    </row>
    <row r="7" spans="2:8" x14ac:dyDescent="0.25">
      <c r="B7" s="3">
        <v>40269</v>
      </c>
      <c r="C7" s="7">
        <v>106.38</v>
      </c>
      <c r="D7" s="7">
        <v>103.52</v>
      </c>
      <c r="E7" s="7">
        <v>106.32</v>
      </c>
      <c r="F7" s="7">
        <v>105.69</v>
      </c>
      <c r="G7" s="7">
        <v>105.48</v>
      </c>
      <c r="H7" s="7">
        <v>105.56</v>
      </c>
    </row>
    <row r="8" spans="2:8" x14ac:dyDescent="0.25">
      <c r="B8" s="3">
        <v>40299</v>
      </c>
      <c r="C8" s="7">
        <v>106.85</v>
      </c>
      <c r="D8" s="7">
        <v>103.39</v>
      </c>
      <c r="E8" s="7">
        <v>107.3</v>
      </c>
      <c r="F8" s="7">
        <v>106.03</v>
      </c>
      <c r="G8" s="7">
        <v>105.62</v>
      </c>
      <c r="H8" s="7">
        <v>105.79</v>
      </c>
    </row>
    <row r="9" spans="2:8" x14ac:dyDescent="0.25">
      <c r="B9" s="3">
        <v>40330</v>
      </c>
      <c r="C9" s="7">
        <v>106.67</v>
      </c>
      <c r="D9" s="7">
        <v>103.09</v>
      </c>
      <c r="E9" s="7">
        <v>107.39</v>
      </c>
      <c r="F9" s="7">
        <v>105.84</v>
      </c>
      <c r="G9" s="7">
        <v>105.45</v>
      </c>
      <c r="H9" s="7">
        <v>105.61</v>
      </c>
    </row>
    <row r="10" spans="2:8" x14ac:dyDescent="0.25">
      <c r="B10" s="3">
        <v>40360</v>
      </c>
      <c r="C10" s="7">
        <v>107.61</v>
      </c>
      <c r="D10" s="7">
        <v>103.34</v>
      </c>
      <c r="E10" s="7">
        <v>107.62</v>
      </c>
      <c r="F10" s="7">
        <v>106.58</v>
      </c>
      <c r="G10" s="7">
        <v>105.56</v>
      </c>
      <c r="H10" s="7">
        <v>105.98</v>
      </c>
    </row>
    <row r="11" spans="2:8" x14ac:dyDescent="0.25">
      <c r="B11" s="3">
        <v>40391</v>
      </c>
      <c r="C11" s="7">
        <v>108.11</v>
      </c>
      <c r="D11" s="7">
        <v>103.39</v>
      </c>
      <c r="E11" s="7">
        <v>107.07</v>
      </c>
      <c r="F11" s="7">
        <v>106.93</v>
      </c>
      <c r="G11" s="7">
        <v>105.78</v>
      </c>
      <c r="H11" s="7">
        <v>106.25</v>
      </c>
    </row>
    <row r="12" spans="2:8" x14ac:dyDescent="0.25">
      <c r="B12" s="3">
        <v>40422</v>
      </c>
      <c r="C12" s="7">
        <v>108.73</v>
      </c>
      <c r="D12" s="7">
        <v>103.7</v>
      </c>
      <c r="E12" s="7">
        <v>107.67</v>
      </c>
      <c r="F12" s="7">
        <v>107.48</v>
      </c>
      <c r="G12" s="7">
        <v>106.22</v>
      </c>
      <c r="H12" s="7">
        <v>106.74</v>
      </c>
    </row>
    <row r="13" spans="2:8" x14ac:dyDescent="0.25">
      <c r="B13" s="3">
        <v>40452</v>
      </c>
      <c r="C13" s="7">
        <v>108.38</v>
      </c>
      <c r="D13" s="7">
        <v>103.97</v>
      </c>
      <c r="E13" s="7">
        <v>108.89</v>
      </c>
      <c r="F13" s="7">
        <v>107.3</v>
      </c>
      <c r="G13" s="7">
        <v>106.74</v>
      </c>
      <c r="H13" s="7">
        <v>106.97</v>
      </c>
    </row>
    <row r="14" spans="2:8" x14ac:dyDescent="0.25">
      <c r="B14" s="3">
        <v>40483</v>
      </c>
      <c r="C14" s="7">
        <v>108.8</v>
      </c>
      <c r="D14" s="7">
        <v>104.65</v>
      </c>
      <c r="E14" s="7">
        <v>109.24</v>
      </c>
      <c r="F14" s="7">
        <v>107.81</v>
      </c>
      <c r="G14" s="7">
        <v>107.9</v>
      </c>
      <c r="H14" s="7">
        <v>107.86</v>
      </c>
    </row>
    <row r="15" spans="2:8" x14ac:dyDescent="0.25">
      <c r="B15" s="3">
        <v>40513</v>
      </c>
      <c r="C15" s="7">
        <v>110.33</v>
      </c>
      <c r="D15" s="7">
        <v>103.83</v>
      </c>
      <c r="E15" s="7">
        <v>109.09</v>
      </c>
      <c r="F15" s="7">
        <v>109.04</v>
      </c>
      <c r="G15" s="7">
        <v>109.62</v>
      </c>
      <c r="H15" s="7">
        <v>109.38</v>
      </c>
    </row>
    <row r="16" spans="2:8" x14ac:dyDescent="0.25">
      <c r="B16" s="3">
        <v>40544</v>
      </c>
      <c r="C16" s="7">
        <v>111.59</v>
      </c>
      <c r="D16" s="7">
        <v>106.64</v>
      </c>
      <c r="E16" s="7">
        <v>110.9</v>
      </c>
      <c r="F16" s="7">
        <v>110.37</v>
      </c>
      <c r="G16" s="7">
        <v>110.71</v>
      </c>
      <c r="H16" s="7">
        <v>110.57</v>
      </c>
    </row>
    <row r="17" spans="2:8" x14ac:dyDescent="0.25">
      <c r="B17" s="3">
        <v>40575</v>
      </c>
      <c r="C17" s="7">
        <v>114.08</v>
      </c>
      <c r="D17" s="7">
        <v>107.26</v>
      </c>
      <c r="E17" s="7">
        <v>111.29</v>
      </c>
      <c r="F17" s="7">
        <v>112.33</v>
      </c>
      <c r="G17" s="7">
        <v>111.86</v>
      </c>
      <c r="H17" s="7">
        <v>112.05</v>
      </c>
    </row>
    <row r="18" spans="2:8" x14ac:dyDescent="0.25">
      <c r="B18" s="3">
        <v>40603</v>
      </c>
      <c r="C18" s="7">
        <v>117.46</v>
      </c>
      <c r="D18" s="7">
        <v>108.86</v>
      </c>
      <c r="E18" s="7">
        <v>111.95</v>
      </c>
      <c r="F18" s="7">
        <v>115.18</v>
      </c>
      <c r="G18" s="7">
        <v>114.22</v>
      </c>
      <c r="H18" s="7">
        <v>114.62</v>
      </c>
    </row>
    <row r="19" spans="2:8" x14ac:dyDescent="0.25">
      <c r="B19" s="3">
        <v>40634</v>
      </c>
      <c r="C19" s="7">
        <v>121.32</v>
      </c>
      <c r="D19" s="7">
        <v>111.34</v>
      </c>
      <c r="E19" s="7">
        <v>113.12</v>
      </c>
      <c r="F19" s="7">
        <v>118.54</v>
      </c>
      <c r="G19" s="7">
        <v>118.04</v>
      </c>
      <c r="H19" s="7">
        <v>118.29</v>
      </c>
    </row>
    <row r="20" spans="2:8" x14ac:dyDescent="0.25">
      <c r="B20" s="3">
        <v>40664</v>
      </c>
      <c r="C20" s="7">
        <v>121.77</v>
      </c>
      <c r="D20" s="7">
        <v>112.42</v>
      </c>
      <c r="E20" s="7">
        <v>113.93</v>
      </c>
      <c r="F20" s="7">
        <v>119.22</v>
      </c>
      <c r="G20" s="7">
        <v>119.67</v>
      </c>
      <c r="H20" s="7">
        <v>119.48</v>
      </c>
    </row>
    <row r="21" spans="2:8" x14ac:dyDescent="0.25">
      <c r="B21" s="3">
        <v>40695</v>
      </c>
      <c r="C21" s="7">
        <v>123.7</v>
      </c>
      <c r="D21" s="7">
        <v>112.95</v>
      </c>
      <c r="E21" s="7">
        <v>118.28</v>
      </c>
      <c r="F21" s="7">
        <v>120.9</v>
      </c>
      <c r="G21" s="7">
        <v>120.91</v>
      </c>
      <c r="H21" s="7">
        <v>120.91</v>
      </c>
    </row>
    <row r="22" spans="2:8" x14ac:dyDescent="0.25">
      <c r="B22" s="3">
        <v>40725</v>
      </c>
      <c r="C22" s="7">
        <v>124.83</v>
      </c>
      <c r="D22" s="7">
        <v>113.83</v>
      </c>
      <c r="E22" s="7">
        <v>120.18</v>
      </c>
      <c r="F22" s="7">
        <v>122</v>
      </c>
      <c r="G22" s="7">
        <v>122.75</v>
      </c>
      <c r="H22" s="7">
        <v>122.44</v>
      </c>
    </row>
    <row r="23" spans="2:8" x14ac:dyDescent="0.25">
      <c r="B23" s="3">
        <v>40756</v>
      </c>
      <c r="C23" s="7">
        <v>126.67</v>
      </c>
      <c r="D23" s="7">
        <v>115.05</v>
      </c>
      <c r="E23" s="7">
        <v>120.9</v>
      </c>
      <c r="F23" s="7">
        <v>123.65</v>
      </c>
      <c r="G23" s="7">
        <v>124.15</v>
      </c>
      <c r="H23" s="7">
        <v>123.95</v>
      </c>
    </row>
    <row r="24" spans="2:8" x14ac:dyDescent="0.25">
      <c r="B24" s="3">
        <v>40787</v>
      </c>
      <c r="C24" s="7">
        <v>128.27000000000001</v>
      </c>
      <c r="D24" s="7">
        <v>116.57</v>
      </c>
      <c r="E24" s="7">
        <v>121.83</v>
      </c>
      <c r="F24" s="7">
        <v>125.21</v>
      </c>
      <c r="G24" s="7">
        <v>125.24</v>
      </c>
      <c r="H24" s="7">
        <v>125.23</v>
      </c>
    </row>
    <row r="25" spans="2:8" x14ac:dyDescent="0.25">
      <c r="B25" s="3">
        <v>40817</v>
      </c>
      <c r="C25" s="7">
        <v>129.6</v>
      </c>
      <c r="D25" s="7">
        <v>118.86</v>
      </c>
      <c r="E25" s="7">
        <v>123.51</v>
      </c>
      <c r="F25" s="7">
        <v>126.78</v>
      </c>
      <c r="G25" s="7">
        <v>127.5</v>
      </c>
      <c r="H25" s="7">
        <v>127.2</v>
      </c>
    </row>
    <row r="26" spans="2:8" x14ac:dyDescent="0.25">
      <c r="B26" s="3">
        <v>40848</v>
      </c>
      <c r="C26" s="7">
        <v>131.22999999999999</v>
      </c>
      <c r="D26" s="7">
        <v>120.95</v>
      </c>
      <c r="E26" s="7">
        <v>124.52</v>
      </c>
      <c r="F26" s="7">
        <v>128.49</v>
      </c>
      <c r="G26" s="7">
        <v>129.57</v>
      </c>
      <c r="H26" s="7">
        <v>129.13</v>
      </c>
    </row>
    <row r="27" spans="2:8" x14ac:dyDescent="0.25">
      <c r="B27" s="3">
        <v>40878</v>
      </c>
      <c r="C27" s="7">
        <v>133.09</v>
      </c>
      <c r="D27" s="7">
        <v>121.73</v>
      </c>
      <c r="E27" s="7">
        <v>124.03</v>
      </c>
      <c r="F27" s="7">
        <v>130.01</v>
      </c>
      <c r="G27" s="7">
        <v>130.15</v>
      </c>
      <c r="H27" s="7">
        <v>130.09</v>
      </c>
    </row>
    <row r="28" spans="2:8" x14ac:dyDescent="0.25">
      <c r="B28" s="3">
        <v>40909</v>
      </c>
      <c r="C28" s="7">
        <v>134.21</v>
      </c>
      <c r="D28" s="7">
        <v>121.65</v>
      </c>
      <c r="E28" s="7">
        <v>123.72</v>
      </c>
      <c r="F28" s="7">
        <v>130.78</v>
      </c>
      <c r="G28" s="7">
        <v>130.84</v>
      </c>
      <c r="H28" s="7">
        <v>130.82</v>
      </c>
    </row>
    <row r="29" spans="2:8" x14ac:dyDescent="0.25">
      <c r="B29" s="3">
        <v>40940</v>
      </c>
      <c r="C29" s="7">
        <v>134.38</v>
      </c>
      <c r="D29" s="7">
        <v>121.37</v>
      </c>
      <c r="E29" s="7">
        <v>123.63</v>
      </c>
      <c r="F29" s="7">
        <v>130.84</v>
      </c>
      <c r="G29" s="7">
        <v>130.71</v>
      </c>
      <c r="H29" s="7">
        <v>130.76</v>
      </c>
    </row>
    <row r="30" spans="2:8" x14ac:dyDescent="0.25">
      <c r="B30" s="3">
        <v>40969</v>
      </c>
      <c r="C30" s="7">
        <v>136.85</v>
      </c>
      <c r="D30" s="7">
        <v>122.53</v>
      </c>
      <c r="E30" s="7">
        <v>124.12</v>
      </c>
      <c r="F30" s="7">
        <v>132.91</v>
      </c>
      <c r="G30" s="7">
        <v>132.22999999999999</v>
      </c>
      <c r="H30" s="7">
        <v>132.51</v>
      </c>
    </row>
    <row r="31" spans="2:8" x14ac:dyDescent="0.25">
      <c r="B31" s="3">
        <v>41000</v>
      </c>
      <c r="C31" s="7">
        <v>137.61000000000001</v>
      </c>
      <c r="D31" s="7">
        <v>123.49</v>
      </c>
      <c r="E31" s="7">
        <v>124.9</v>
      </c>
      <c r="F31" s="7">
        <v>133.72999999999999</v>
      </c>
      <c r="G31" s="7">
        <v>133.74</v>
      </c>
      <c r="H31" s="7">
        <v>133.74</v>
      </c>
    </row>
    <row r="32" spans="2:8" x14ac:dyDescent="0.25">
      <c r="B32" s="3">
        <v>41030</v>
      </c>
      <c r="C32" s="7">
        <v>138</v>
      </c>
      <c r="D32" s="7">
        <v>123.66</v>
      </c>
      <c r="E32" s="7">
        <v>124.98</v>
      </c>
      <c r="F32" s="7">
        <v>134.05000000000001</v>
      </c>
      <c r="G32" s="7">
        <v>134.12</v>
      </c>
      <c r="H32" s="7">
        <v>134.09</v>
      </c>
    </row>
    <row r="33" spans="2:8" x14ac:dyDescent="0.25">
      <c r="B33" s="3">
        <v>41061</v>
      </c>
      <c r="C33" s="7">
        <v>136.21</v>
      </c>
      <c r="D33" s="7">
        <v>123.31</v>
      </c>
      <c r="E33" s="7">
        <v>124.83</v>
      </c>
      <c r="F33" s="7">
        <v>132.66999999999999</v>
      </c>
      <c r="G33" s="7">
        <v>133.33000000000001</v>
      </c>
      <c r="H33" s="7">
        <v>133.06</v>
      </c>
    </row>
    <row r="34" spans="2:8" x14ac:dyDescent="0.25">
      <c r="B34" s="3">
        <v>41091</v>
      </c>
      <c r="C34" s="7">
        <v>134.44</v>
      </c>
      <c r="D34" s="7">
        <v>121.96</v>
      </c>
      <c r="E34" s="7">
        <v>124.26</v>
      </c>
      <c r="F34" s="7">
        <v>131.04</v>
      </c>
      <c r="G34" s="7">
        <v>132.54</v>
      </c>
      <c r="H34" s="7">
        <v>131.91999999999999</v>
      </c>
    </row>
    <row r="35" spans="2:8" x14ac:dyDescent="0.25">
      <c r="B35" s="3">
        <v>41122</v>
      </c>
      <c r="C35" s="7">
        <v>133.18</v>
      </c>
      <c r="D35" s="7">
        <v>122.03</v>
      </c>
      <c r="E35" s="7">
        <v>124.74</v>
      </c>
      <c r="F35" s="7">
        <v>130.16999999999999</v>
      </c>
      <c r="G35" s="7">
        <v>132.44999999999999</v>
      </c>
      <c r="H35" s="7">
        <v>131.51</v>
      </c>
    </row>
    <row r="36" spans="2:8" x14ac:dyDescent="0.25">
      <c r="B36" s="3">
        <v>41153</v>
      </c>
      <c r="C36" s="7">
        <v>133.61000000000001</v>
      </c>
      <c r="D36" s="7">
        <v>122.4</v>
      </c>
      <c r="E36" s="7">
        <v>124.87</v>
      </c>
      <c r="F36" s="7">
        <v>130.58000000000001</v>
      </c>
      <c r="G36" s="7">
        <v>132.81</v>
      </c>
      <c r="H36" s="7">
        <v>131.88999999999999</v>
      </c>
    </row>
    <row r="37" spans="2:8" x14ac:dyDescent="0.25">
      <c r="B37" s="3">
        <v>41183</v>
      </c>
      <c r="C37" s="7">
        <v>134.13</v>
      </c>
      <c r="D37" s="7">
        <v>123.12</v>
      </c>
      <c r="E37" s="7">
        <v>125.72</v>
      </c>
      <c r="F37" s="7">
        <v>131.16</v>
      </c>
      <c r="G37" s="7">
        <v>133.38</v>
      </c>
      <c r="H37" s="7">
        <v>132.46</v>
      </c>
    </row>
    <row r="38" spans="2:8" x14ac:dyDescent="0.25">
      <c r="B38" s="3">
        <v>41214</v>
      </c>
      <c r="C38" s="7">
        <v>135.13999999999999</v>
      </c>
      <c r="D38" s="7">
        <v>123.36</v>
      </c>
      <c r="E38" s="7">
        <v>125.51</v>
      </c>
      <c r="F38" s="7">
        <v>131.94</v>
      </c>
      <c r="G38" s="7">
        <v>134.31</v>
      </c>
      <c r="H38" s="7">
        <v>133.33000000000001</v>
      </c>
    </row>
    <row r="39" spans="2:8" x14ac:dyDescent="0.25">
      <c r="B39" s="3">
        <v>41244</v>
      </c>
      <c r="C39" s="7">
        <v>136.49</v>
      </c>
      <c r="D39" s="7">
        <v>123.51</v>
      </c>
      <c r="E39" s="7">
        <v>125.46</v>
      </c>
      <c r="F39" s="7">
        <v>132.94</v>
      </c>
      <c r="G39" s="7">
        <v>135.16999999999999</v>
      </c>
      <c r="H39" s="7">
        <v>134.25</v>
      </c>
    </row>
    <row r="40" spans="2:8" x14ac:dyDescent="0.25">
      <c r="B40" s="3">
        <v>41275</v>
      </c>
      <c r="C40" s="7">
        <v>138.55000000000001</v>
      </c>
      <c r="D40" s="7">
        <v>125.13</v>
      </c>
      <c r="E40" s="7">
        <v>126.64</v>
      </c>
      <c r="F40" s="7">
        <v>134.86000000000001</v>
      </c>
      <c r="G40" s="7">
        <v>136.15</v>
      </c>
      <c r="H40" s="7">
        <v>135.62</v>
      </c>
    </row>
    <row r="41" spans="2:8" x14ac:dyDescent="0.25">
      <c r="B41" s="3">
        <v>41306</v>
      </c>
      <c r="C41" s="7">
        <v>139.72</v>
      </c>
      <c r="D41" s="7">
        <v>125.79</v>
      </c>
      <c r="E41" s="7">
        <v>126.91</v>
      </c>
      <c r="F41" s="7">
        <v>135.88</v>
      </c>
      <c r="G41" s="7">
        <v>137.08000000000001</v>
      </c>
      <c r="H41" s="7">
        <v>136.59</v>
      </c>
    </row>
    <row r="42" spans="2:8" x14ac:dyDescent="0.25">
      <c r="B42" s="3">
        <v>41334</v>
      </c>
      <c r="C42" s="7">
        <v>141.16999999999999</v>
      </c>
      <c r="D42" s="7">
        <v>126.89</v>
      </c>
      <c r="E42" s="7">
        <v>127.77</v>
      </c>
      <c r="F42" s="7">
        <v>137.22</v>
      </c>
      <c r="G42" s="7">
        <v>138.47999999999999</v>
      </c>
      <c r="H42" s="7">
        <v>137.96</v>
      </c>
    </row>
    <row r="43" spans="2:8" x14ac:dyDescent="0.25">
      <c r="B43" s="3">
        <v>41365</v>
      </c>
      <c r="C43" s="7">
        <v>142.91</v>
      </c>
      <c r="D43" s="7">
        <v>127.57</v>
      </c>
      <c r="E43" s="7">
        <v>127.88</v>
      </c>
      <c r="F43" s="7">
        <v>138.63999999999999</v>
      </c>
      <c r="G43" s="7">
        <v>139.72</v>
      </c>
      <c r="H43" s="7">
        <v>139.28</v>
      </c>
    </row>
    <row r="44" spans="2:8" x14ac:dyDescent="0.25">
      <c r="B44" s="3">
        <v>41395</v>
      </c>
      <c r="C44" s="7">
        <v>142.84</v>
      </c>
      <c r="D44" s="7">
        <v>127.08</v>
      </c>
      <c r="E44" s="7">
        <v>127.25</v>
      </c>
      <c r="F44" s="7">
        <v>138.44999999999999</v>
      </c>
      <c r="G44" s="7">
        <v>140.27000000000001</v>
      </c>
      <c r="H44" s="7">
        <v>139.52000000000001</v>
      </c>
    </row>
    <row r="45" spans="2:8" x14ac:dyDescent="0.25">
      <c r="B45" s="3">
        <v>41426</v>
      </c>
      <c r="C45" s="7">
        <v>142.68</v>
      </c>
      <c r="D45" s="7">
        <v>126.8</v>
      </c>
      <c r="E45" s="7">
        <v>126.93</v>
      </c>
      <c r="F45" s="7">
        <v>138.26</v>
      </c>
      <c r="G45" s="7">
        <v>140.53</v>
      </c>
      <c r="H45" s="7">
        <v>139.59</v>
      </c>
    </row>
    <row r="46" spans="2:8" x14ac:dyDescent="0.25">
      <c r="B46" s="3">
        <v>41456</v>
      </c>
      <c r="C46" s="7">
        <v>142.94</v>
      </c>
      <c r="D46" s="7">
        <v>127.56</v>
      </c>
      <c r="E46" s="7">
        <v>127.09</v>
      </c>
      <c r="F46" s="7">
        <v>138.63</v>
      </c>
      <c r="G46" s="7">
        <v>140.72999999999999</v>
      </c>
      <c r="H46" s="7">
        <v>139.87</v>
      </c>
    </row>
    <row r="47" spans="2:8" x14ac:dyDescent="0.25">
      <c r="B47" s="3">
        <v>41487</v>
      </c>
      <c r="C47" s="7">
        <v>142.82</v>
      </c>
      <c r="D47" s="7">
        <v>127.61</v>
      </c>
      <c r="E47" s="7">
        <v>127.72</v>
      </c>
      <c r="F47" s="7">
        <v>138.58000000000001</v>
      </c>
      <c r="G47" s="7">
        <v>141.49</v>
      </c>
      <c r="H47" s="7">
        <v>140.29</v>
      </c>
    </row>
    <row r="48" spans="2:8" x14ac:dyDescent="0.25">
      <c r="B48" s="3">
        <v>41518</v>
      </c>
      <c r="C48" s="7">
        <v>146.54</v>
      </c>
      <c r="D48" s="7">
        <v>131.11000000000001</v>
      </c>
      <c r="E48" s="7">
        <v>132.57</v>
      </c>
      <c r="F48" s="7">
        <v>142.29</v>
      </c>
      <c r="G48" s="7">
        <v>143.19</v>
      </c>
      <c r="H48" s="7">
        <v>142.82</v>
      </c>
    </row>
    <row r="49" spans="2:8" x14ac:dyDescent="0.25">
      <c r="B49" s="3">
        <v>41548</v>
      </c>
      <c r="C49" s="7">
        <v>146.18</v>
      </c>
      <c r="D49" s="7">
        <v>130.91</v>
      </c>
      <c r="E49" s="7">
        <v>132.47</v>
      </c>
      <c r="F49" s="7">
        <v>141.97999999999999</v>
      </c>
      <c r="G49" s="7">
        <v>143.28</v>
      </c>
      <c r="H49" s="7">
        <v>142.75</v>
      </c>
    </row>
    <row r="50" spans="2:8" x14ac:dyDescent="0.25">
      <c r="B50" s="3">
        <v>41579</v>
      </c>
      <c r="C50" s="7">
        <v>146.29</v>
      </c>
      <c r="D50" s="7">
        <v>130.66</v>
      </c>
      <c r="E50" s="7">
        <v>132.4</v>
      </c>
      <c r="F50" s="7">
        <v>142</v>
      </c>
      <c r="G50" s="7">
        <v>143.94</v>
      </c>
      <c r="H50" s="7">
        <v>143.13999999999999</v>
      </c>
    </row>
    <row r="51" spans="2:8" x14ac:dyDescent="0.25">
      <c r="B51" s="3">
        <v>41609</v>
      </c>
      <c r="C51" s="7">
        <v>146.93</v>
      </c>
      <c r="D51" s="7">
        <v>130.88</v>
      </c>
      <c r="E51" s="7">
        <v>132.51</v>
      </c>
      <c r="F51" s="23">
        <v>142.51</v>
      </c>
      <c r="G51" s="23">
        <v>144.79</v>
      </c>
      <c r="H51" s="23">
        <v>143.85</v>
      </c>
    </row>
    <row r="52" spans="2:8" x14ac:dyDescent="0.25">
      <c r="B52" s="3">
        <v>41640</v>
      </c>
      <c r="C52" s="7">
        <v>148.47</v>
      </c>
      <c r="D52" s="7">
        <v>131.93</v>
      </c>
      <c r="E52" s="7">
        <v>134.11000000000001</v>
      </c>
      <c r="F52" s="23">
        <v>143.94</v>
      </c>
      <c r="G52" s="23">
        <v>146.41999999999999</v>
      </c>
      <c r="H52" s="23">
        <v>145.4</v>
      </c>
    </row>
    <row r="53" spans="2:8" x14ac:dyDescent="0.25">
      <c r="B53" s="3">
        <v>41671</v>
      </c>
      <c r="C53" s="7">
        <v>148.75</v>
      </c>
      <c r="D53" s="7">
        <v>131.99</v>
      </c>
      <c r="E53" s="7">
        <v>134.32</v>
      </c>
      <c r="F53" s="23">
        <v>144.16</v>
      </c>
      <c r="G53" s="23">
        <v>147.21</v>
      </c>
      <c r="H53" s="23">
        <v>145.94999999999999</v>
      </c>
    </row>
    <row r="54" spans="2:8" x14ac:dyDescent="0.25">
      <c r="B54" s="3">
        <v>41699</v>
      </c>
      <c r="C54" s="7">
        <v>149.36000000000001</v>
      </c>
      <c r="D54" s="7">
        <v>132.79</v>
      </c>
      <c r="E54" s="7">
        <v>134.63</v>
      </c>
      <c r="F54" s="23">
        <v>144.81</v>
      </c>
      <c r="G54" s="23">
        <v>147.87</v>
      </c>
      <c r="H54" s="23">
        <v>146.61000000000001</v>
      </c>
    </row>
    <row r="55" spans="2:8" x14ac:dyDescent="0.25">
      <c r="B55" s="3">
        <v>41730</v>
      </c>
      <c r="C55" s="7">
        <v>150.57</v>
      </c>
      <c r="D55" s="7">
        <v>133.22</v>
      </c>
      <c r="E55" s="7">
        <v>135.1</v>
      </c>
      <c r="F55" s="23">
        <v>145.80000000000001</v>
      </c>
      <c r="G55" s="23">
        <v>149.88</v>
      </c>
      <c r="H55" s="23">
        <v>148.19999999999999</v>
      </c>
    </row>
    <row r="56" spans="2:8" x14ac:dyDescent="0.25">
      <c r="B56" s="3">
        <v>41760</v>
      </c>
      <c r="C56" s="7">
        <v>151.51</v>
      </c>
      <c r="D56" s="7">
        <v>133.91</v>
      </c>
      <c r="E56" s="7">
        <v>136.38999999999999</v>
      </c>
      <c r="F56" s="23">
        <v>146.69</v>
      </c>
      <c r="G56" s="23">
        <v>151.81</v>
      </c>
      <c r="H56" s="23">
        <v>149.69999999999999</v>
      </c>
    </row>
    <row r="57" spans="2:8" x14ac:dyDescent="0.25">
      <c r="B57" s="3">
        <v>41791</v>
      </c>
      <c r="C57" s="7">
        <v>151.38999999999999</v>
      </c>
      <c r="D57" s="7">
        <v>134.47999999999999</v>
      </c>
      <c r="E57" s="7">
        <v>136.83000000000001</v>
      </c>
      <c r="F57" s="23">
        <v>146.76</v>
      </c>
      <c r="G57" s="23">
        <v>152.12</v>
      </c>
      <c r="H57" s="23">
        <v>149.91</v>
      </c>
    </row>
    <row r="58" spans="2:8" x14ac:dyDescent="0.25">
      <c r="B58" s="3">
        <v>41821</v>
      </c>
      <c r="C58" s="7">
        <v>151.71</v>
      </c>
      <c r="D58" s="7">
        <v>135.44999999999999</v>
      </c>
      <c r="E58" s="7">
        <v>137.30000000000001</v>
      </c>
      <c r="F58" s="23">
        <v>147.25</v>
      </c>
      <c r="G58" s="23">
        <v>152.94999999999999</v>
      </c>
      <c r="H58" s="23">
        <v>150.6</v>
      </c>
    </row>
    <row r="59" spans="2:8" x14ac:dyDescent="0.25">
      <c r="B59" s="3">
        <v>41852</v>
      </c>
      <c r="C59" s="7">
        <v>153.51</v>
      </c>
      <c r="D59" s="7">
        <v>135.76</v>
      </c>
      <c r="E59" s="7">
        <v>139.94</v>
      </c>
      <c r="F59" s="23">
        <v>148.72</v>
      </c>
      <c r="G59" s="23">
        <v>154.33000000000001</v>
      </c>
      <c r="H59" s="23">
        <v>152.02000000000001</v>
      </c>
    </row>
    <row r="60" spans="2:8" x14ac:dyDescent="0.25">
      <c r="B60" s="3">
        <v>41883</v>
      </c>
      <c r="C60" s="7">
        <v>153.63999999999999</v>
      </c>
      <c r="D60" s="7">
        <v>135.47999999999999</v>
      </c>
      <c r="E60" s="7">
        <v>139.46</v>
      </c>
      <c r="F60" s="23">
        <v>148.72</v>
      </c>
      <c r="G60" s="23">
        <v>154.71</v>
      </c>
      <c r="H60" s="23">
        <v>152.24</v>
      </c>
    </row>
    <row r="61" spans="2:8" x14ac:dyDescent="0.25">
      <c r="B61" s="3">
        <v>41913</v>
      </c>
      <c r="C61" s="7">
        <v>153.18</v>
      </c>
      <c r="D61" s="7">
        <v>135.33000000000001</v>
      </c>
      <c r="E61" s="7">
        <v>138.22</v>
      </c>
      <c r="F61" s="23">
        <v>148.31</v>
      </c>
      <c r="G61" s="23">
        <v>154.44999999999999</v>
      </c>
      <c r="H61" s="23">
        <v>151.91999999999999</v>
      </c>
    </row>
    <row r="62" spans="2:8" x14ac:dyDescent="0.25">
      <c r="B62" s="3">
        <v>41944</v>
      </c>
      <c r="C62" s="7">
        <v>152.88</v>
      </c>
      <c r="D62" s="7">
        <v>134.97</v>
      </c>
      <c r="E62" s="7">
        <v>138.03</v>
      </c>
      <c r="F62" s="23">
        <v>148</v>
      </c>
      <c r="G62" s="23">
        <v>154.55000000000001</v>
      </c>
      <c r="H62" s="23">
        <v>151.85</v>
      </c>
    </row>
    <row r="63" spans="2:8" x14ac:dyDescent="0.25">
      <c r="B63" s="3">
        <v>41974</v>
      </c>
      <c r="C63" s="7">
        <v>154.08000000000001</v>
      </c>
      <c r="D63" s="7">
        <v>135.6</v>
      </c>
      <c r="E63" s="7">
        <v>136.74</v>
      </c>
      <c r="F63" s="23">
        <v>148.97</v>
      </c>
      <c r="G63" s="23">
        <v>154.99</v>
      </c>
      <c r="H63" s="23">
        <v>152.51</v>
      </c>
    </row>
    <row r="64" spans="2:8" x14ac:dyDescent="0.25">
      <c r="B64" s="3">
        <v>42005</v>
      </c>
      <c r="C64" s="7">
        <v>155.65</v>
      </c>
      <c r="D64" s="7">
        <v>136.19</v>
      </c>
      <c r="E64" s="7">
        <v>136.86000000000001</v>
      </c>
      <c r="F64" s="23">
        <v>150.24</v>
      </c>
      <c r="G64" s="23">
        <v>155.66999999999999</v>
      </c>
      <c r="H64" s="23">
        <v>153.43</v>
      </c>
    </row>
    <row r="65" spans="2:8" x14ac:dyDescent="0.25">
      <c r="B65" s="3">
        <v>42036</v>
      </c>
      <c r="C65" s="7">
        <v>156.51</v>
      </c>
      <c r="D65" s="7">
        <v>136.25</v>
      </c>
      <c r="E65" s="7">
        <v>136.66</v>
      </c>
      <c r="F65" s="23">
        <v>150.87</v>
      </c>
      <c r="G65" s="23">
        <v>156.41999999999999</v>
      </c>
      <c r="H65" s="23">
        <v>154.13999999999999</v>
      </c>
    </row>
    <row r="66" spans="2:8" x14ac:dyDescent="0.25">
      <c r="B66" s="3">
        <v>42064</v>
      </c>
      <c r="C66" s="7">
        <v>158.81</v>
      </c>
      <c r="D66" s="7">
        <v>137.09</v>
      </c>
      <c r="E66" s="7">
        <v>137.07</v>
      </c>
      <c r="F66" s="23">
        <v>152.75</v>
      </c>
      <c r="G66" s="23">
        <v>158.04</v>
      </c>
      <c r="H66" s="23">
        <v>155.86000000000001</v>
      </c>
    </row>
    <row r="67" spans="2:8" x14ac:dyDescent="0.25">
      <c r="B67" s="3">
        <v>42095</v>
      </c>
      <c r="C67" s="7">
        <v>161.85</v>
      </c>
      <c r="D67" s="7">
        <v>137.74</v>
      </c>
      <c r="E67" s="7">
        <v>137.66999999999999</v>
      </c>
      <c r="F67" s="23">
        <v>155.12</v>
      </c>
      <c r="G67" s="23">
        <v>161.19999999999999</v>
      </c>
      <c r="H67" s="23">
        <v>158.69999999999999</v>
      </c>
    </row>
    <row r="68" spans="2:8" x14ac:dyDescent="0.25">
      <c r="B68" s="3">
        <v>42125</v>
      </c>
      <c r="C68" s="7">
        <v>162.09</v>
      </c>
      <c r="D68" s="7">
        <v>138.94999999999999</v>
      </c>
      <c r="E68" s="7">
        <v>138.93</v>
      </c>
      <c r="F68" s="23">
        <v>155.63</v>
      </c>
      <c r="G68" s="23">
        <v>163.03</v>
      </c>
      <c r="H68" s="23">
        <v>159.97999999999999</v>
      </c>
    </row>
    <row r="69" spans="2:8" x14ac:dyDescent="0.25">
      <c r="B69" s="3">
        <v>42156</v>
      </c>
      <c r="C69" s="7">
        <v>162.47</v>
      </c>
      <c r="D69" s="7">
        <v>140.69999999999999</v>
      </c>
      <c r="E69" s="7">
        <v>139.25</v>
      </c>
      <c r="F69" s="23">
        <v>156.34</v>
      </c>
      <c r="G69" s="23">
        <v>163.34</v>
      </c>
      <c r="H69" s="23">
        <v>160.46</v>
      </c>
    </row>
    <row r="70" spans="2:8" x14ac:dyDescent="0.25">
      <c r="B70" s="3">
        <v>42186</v>
      </c>
      <c r="C70" s="7">
        <v>162.74</v>
      </c>
      <c r="D70" s="7">
        <v>141.16999999999999</v>
      </c>
      <c r="E70" s="7">
        <v>141.35</v>
      </c>
      <c r="F70" s="23">
        <v>156.72</v>
      </c>
      <c r="G70" s="23">
        <v>163.26</v>
      </c>
      <c r="H70" s="23">
        <v>160.57</v>
      </c>
    </row>
    <row r="71" spans="2:8" x14ac:dyDescent="0.25">
      <c r="B71" s="3">
        <v>42217</v>
      </c>
      <c r="C71" s="7">
        <v>162.78</v>
      </c>
      <c r="D71" s="7">
        <v>141.66</v>
      </c>
      <c r="E71" s="7">
        <v>143.53</v>
      </c>
      <c r="F71" s="23">
        <v>156.96</v>
      </c>
      <c r="G71" s="23">
        <v>163.66</v>
      </c>
      <c r="H71" s="23">
        <v>160.9</v>
      </c>
    </row>
    <row r="72" spans="2:8" x14ac:dyDescent="0.25">
      <c r="B72" s="3">
        <v>42248</v>
      </c>
      <c r="C72" s="7">
        <v>163.13</v>
      </c>
      <c r="D72" s="7">
        <v>142.04</v>
      </c>
      <c r="E72" s="7">
        <v>143.35</v>
      </c>
      <c r="F72" s="23">
        <v>157.30000000000001</v>
      </c>
      <c r="G72" s="23">
        <v>164.15</v>
      </c>
      <c r="H72" s="23">
        <v>161.33000000000001</v>
      </c>
    </row>
    <row r="73" spans="2:8" x14ac:dyDescent="0.25">
      <c r="B73" s="3">
        <v>42278</v>
      </c>
      <c r="C73" s="7">
        <v>164.26</v>
      </c>
      <c r="D73" s="7">
        <v>141.93</v>
      </c>
      <c r="E73" s="7">
        <v>143.05000000000001</v>
      </c>
      <c r="F73" s="23">
        <v>158.07</v>
      </c>
      <c r="G73" s="23">
        <v>164.98</v>
      </c>
      <c r="H73" s="23">
        <v>162.13</v>
      </c>
    </row>
    <row r="74" spans="2:8" x14ac:dyDescent="0.25">
      <c r="B74" s="3">
        <v>42309</v>
      </c>
      <c r="C74" s="7">
        <v>166.02</v>
      </c>
      <c r="D74" s="7">
        <v>141.75</v>
      </c>
      <c r="E74" s="7">
        <v>142.69999999999999</v>
      </c>
      <c r="F74" s="23">
        <v>159.29</v>
      </c>
      <c r="G74" s="23">
        <v>165.55</v>
      </c>
      <c r="H74" s="23">
        <v>162.97</v>
      </c>
    </row>
    <row r="75" spans="2:8" x14ac:dyDescent="0.25">
      <c r="B75" s="3">
        <v>42339</v>
      </c>
      <c r="C75" s="7">
        <v>167.48</v>
      </c>
      <c r="D75" s="7">
        <v>145.22</v>
      </c>
      <c r="E75" s="7">
        <v>143.34</v>
      </c>
      <c r="F75" s="23">
        <v>161.19999999999999</v>
      </c>
      <c r="G75" s="23">
        <v>167.18</v>
      </c>
      <c r="H75" s="23">
        <v>164.72</v>
      </c>
    </row>
    <row r="76" spans="2:8" x14ac:dyDescent="0.25">
      <c r="B76" s="3">
        <v>42370</v>
      </c>
      <c r="C76" s="7">
        <v>167.6</v>
      </c>
      <c r="D76" s="7">
        <v>144.24</v>
      </c>
      <c r="E76" s="7">
        <v>144.30000000000001</v>
      </c>
      <c r="F76" s="7">
        <v>161.09</v>
      </c>
      <c r="G76" s="7">
        <v>168.36</v>
      </c>
      <c r="H76" s="7">
        <v>165.37</v>
      </c>
    </row>
    <row r="77" spans="2:8" x14ac:dyDescent="0.25">
      <c r="B77" s="3">
        <v>42401</v>
      </c>
      <c r="C77" s="7">
        <v>167.38</v>
      </c>
      <c r="D77" s="7">
        <v>143.38999999999999</v>
      </c>
      <c r="E77" s="7">
        <v>144.19</v>
      </c>
      <c r="F77" s="7">
        <v>160.72</v>
      </c>
      <c r="G77" s="7">
        <v>168.11</v>
      </c>
      <c r="H77" s="7">
        <v>165.06</v>
      </c>
    </row>
    <row r="78" spans="2:8" x14ac:dyDescent="0.25">
      <c r="B78" s="3">
        <v>42430</v>
      </c>
      <c r="C78" s="7">
        <v>169.19</v>
      </c>
      <c r="D78" s="7">
        <v>143.78</v>
      </c>
      <c r="E78" s="7">
        <v>144.21</v>
      </c>
      <c r="F78" s="7">
        <v>162.12</v>
      </c>
      <c r="G78" s="7">
        <v>168.58</v>
      </c>
      <c r="H78" s="7">
        <v>165.92</v>
      </c>
    </row>
    <row r="79" spans="2:8" x14ac:dyDescent="0.25">
      <c r="B79" s="3">
        <v>42461</v>
      </c>
      <c r="C79" s="7">
        <v>170.86</v>
      </c>
      <c r="D79" s="7">
        <v>143.97</v>
      </c>
      <c r="E79" s="7">
        <v>145.61000000000001</v>
      </c>
      <c r="F79" s="7">
        <v>163.41999999999999</v>
      </c>
      <c r="G79" s="7">
        <v>169.62</v>
      </c>
      <c r="H79" s="7">
        <v>167.07</v>
      </c>
    </row>
    <row r="80" spans="2:8" x14ac:dyDescent="0.25">
      <c r="B80" s="3">
        <v>42491</v>
      </c>
      <c r="C80" s="7">
        <v>171.89</v>
      </c>
      <c r="D80" s="7">
        <v>144.59</v>
      </c>
      <c r="E80" s="7">
        <v>145.93</v>
      </c>
      <c r="F80" s="7">
        <v>164.32</v>
      </c>
      <c r="G80" s="7">
        <v>170.55</v>
      </c>
      <c r="H80" s="7">
        <v>167.99</v>
      </c>
    </row>
    <row r="81" spans="2:8" x14ac:dyDescent="0.25">
      <c r="B81" s="3">
        <v>42522</v>
      </c>
      <c r="C81" s="7">
        <v>174.08</v>
      </c>
      <c r="D81" s="7">
        <v>145.59</v>
      </c>
      <c r="E81" s="7">
        <v>146.21</v>
      </c>
      <c r="F81" s="7">
        <v>166.15</v>
      </c>
      <c r="G81" s="7">
        <v>172.29</v>
      </c>
      <c r="H81" s="7">
        <v>169.76</v>
      </c>
    </row>
    <row r="82" spans="2:8" x14ac:dyDescent="0.25">
      <c r="B82" s="3">
        <v>42552</v>
      </c>
      <c r="C82" s="7">
        <v>174.51</v>
      </c>
      <c r="D82" s="7">
        <v>146.18</v>
      </c>
      <c r="E82" s="7">
        <v>146.94</v>
      </c>
      <c r="F82" s="7">
        <v>166.64</v>
      </c>
      <c r="G82" s="7">
        <v>173.78</v>
      </c>
      <c r="H82" s="7">
        <v>170.84</v>
      </c>
    </row>
    <row r="83" spans="2:8" x14ac:dyDescent="0.25">
      <c r="B83" s="3">
        <v>42583</v>
      </c>
      <c r="C83" s="7">
        <v>174.4</v>
      </c>
      <c r="D83" s="7">
        <v>146.76</v>
      </c>
      <c r="E83" s="7">
        <v>148.33000000000001</v>
      </c>
      <c r="F83" s="7">
        <v>166.75</v>
      </c>
      <c r="G83" s="7">
        <v>173.92</v>
      </c>
      <c r="H83" s="7">
        <v>170.97</v>
      </c>
    </row>
    <row r="84" spans="2:8" x14ac:dyDescent="0.25">
      <c r="B84" s="3">
        <v>42614</v>
      </c>
      <c r="C84" s="7">
        <v>174.6</v>
      </c>
      <c r="D84" s="7">
        <v>147.19</v>
      </c>
      <c r="E84" s="7">
        <v>148.71</v>
      </c>
      <c r="F84" s="7">
        <v>167.01</v>
      </c>
      <c r="G84" s="7">
        <v>174.74</v>
      </c>
      <c r="H84" s="7">
        <v>171.56</v>
      </c>
    </row>
    <row r="85" spans="2:8" x14ac:dyDescent="0.25">
      <c r="B85" s="3">
        <v>42644</v>
      </c>
      <c r="C85" s="7">
        <v>176.05</v>
      </c>
      <c r="D85" s="7">
        <v>147.22</v>
      </c>
      <c r="E85" s="7">
        <v>148.68</v>
      </c>
      <c r="F85" s="7">
        <v>168.06</v>
      </c>
      <c r="G85" s="7">
        <v>175.82</v>
      </c>
      <c r="H85" s="7">
        <v>172.62</v>
      </c>
    </row>
    <row r="86" spans="2:8" x14ac:dyDescent="0.25">
      <c r="B86" s="3">
        <v>42675</v>
      </c>
      <c r="C86" s="7">
        <v>177.67</v>
      </c>
      <c r="D86" s="7">
        <v>147.61000000000001</v>
      </c>
      <c r="E86" s="7">
        <v>149.22999999999999</v>
      </c>
      <c r="F86" s="7">
        <v>169.35</v>
      </c>
      <c r="G86" s="7">
        <v>177.01</v>
      </c>
      <c r="H86" s="7">
        <v>173.85</v>
      </c>
    </row>
    <row r="87" spans="2:8" x14ac:dyDescent="0.25">
      <c r="B87" s="3">
        <v>42705</v>
      </c>
      <c r="C87" s="7">
        <v>178.1</v>
      </c>
      <c r="D87" s="7">
        <v>148.37</v>
      </c>
      <c r="E87" s="7">
        <v>149.68</v>
      </c>
      <c r="F87" s="7">
        <v>169.85</v>
      </c>
      <c r="G87" s="7">
        <v>178.91</v>
      </c>
      <c r="H87" s="7">
        <v>175.18</v>
      </c>
    </row>
    <row r="88" spans="2:8" x14ac:dyDescent="0.25">
      <c r="B88" s="3">
        <v>42736</v>
      </c>
      <c r="C88" s="7">
        <v>179.78</v>
      </c>
      <c r="D88" s="7">
        <v>150.25</v>
      </c>
      <c r="E88" s="7">
        <v>150.19</v>
      </c>
      <c r="F88" s="7">
        <v>171.54</v>
      </c>
      <c r="G88" s="7">
        <v>180.7</v>
      </c>
      <c r="H88" s="7">
        <v>176.93</v>
      </c>
    </row>
    <row r="89" spans="2:8" x14ac:dyDescent="0.25">
      <c r="B89" s="3">
        <v>42767</v>
      </c>
      <c r="C89" s="7">
        <v>183.8</v>
      </c>
      <c r="D89" s="7">
        <v>151.94</v>
      </c>
      <c r="E89" s="7">
        <v>150.99</v>
      </c>
      <c r="F89" s="7">
        <v>174.88</v>
      </c>
      <c r="G89" s="7">
        <v>183.55</v>
      </c>
      <c r="H89" s="7">
        <v>179.98</v>
      </c>
    </row>
    <row r="90" spans="2:8" x14ac:dyDescent="0.25">
      <c r="B90" s="3">
        <v>42795</v>
      </c>
      <c r="C90" s="7">
        <v>188.07</v>
      </c>
      <c r="D90" s="7">
        <v>153.19999999999999</v>
      </c>
      <c r="E90" s="7">
        <v>151.28</v>
      </c>
      <c r="F90" s="7">
        <v>178.27</v>
      </c>
      <c r="G90" s="7">
        <v>186.28</v>
      </c>
      <c r="H90" s="7">
        <v>182.98</v>
      </c>
    </row>
    <row r="91" spans="2:8" x14ac:dyDescent="0.25">
      <c r="B91" s="3">
        <v>42826</v>
      </c>
      <c r="C91" s="7">
        <v>191.95</v>
      </c>
      <c r="D91" s="7">
        <v>155.28</v>
      </c>
      <c r="E91" s="7">
        <v>151.30000000000001</v>
      </c>
      <c r="F91" s="7">
        <v>181.57</v>
      </c>
      <c r="G91" s="7">
        <v>189.52</v>
      </c>
      <c r="H91" s="7">
        <v>186.24</v>
      </c>
    </row>
    <row r="92" spans="2:8" x14ac:dyDescent="0.25">
      <c r="B92" s="3">
        <v>42856</v>
      </c>
      <c r="C92" s="7">
        <v>192.75</v>
      </c>
      <c r="D92" s="7">
        <v>155.81</v>
      </c>
      <c r="E92" s="7">
        <v>151.51</v>
      </c>
      <c r="F92" s="7">
        <v>182.28</v>
      </c>
      <c r="G92" s="7">
        <v>191.38</v>
      </c>
      <c r="H92" s="7">
        <v>187.64</v>
      </c>
    </row>
    <row r="93" spans="2:8" x14ac:dyDescent="0.25">
      <c r="B93" s="3">
        <v>42887</v>
      </c>
      <c r="C93" s="7">
        <v>189.69</v>
      </c>
      <c r="D93" s="7">
        <v>154.29</v>
      </c>
      <c r="E93" s="7">
        <v>150.94</v>
      </c>
      <c r="F93" s="7">
        <v>179.69</v>
      </c>
      <c r="G93" s="7">
        <v>189.38</v>
      </c>
      <c r="H93" s="7">
        <v>185.39</v>
      </c>
    </row>
    <row r="94" spans="2:8" x14ac:dyDescent="0.25">
      <c r="B94" s="3">
        <v>42917</v>
      </c>
      <c r="C94" s="7">
        <v>187.45</v>
      </c>
      <c r="D94" s="7">
        <v>154.19</v>
      </c>
      <c r="E94" s="7">
        <v>151.32</v>
      </c>
      <c r="F94" s="7">
        <v>178.06</v>
      </c>
      <c r="G94" s="7">
        <v>187.48</v>
      </c>
      <c r="H94" s="7">
        <v>183.6</v>
      </c>
    </row>
    <row r="95" spans="2:8" x14ac:dyDescent="0.25">
      <c r="B95" s="3">
        <v>42948</v>
      </c>
      <c r="C95" s="7">
        <v>188.9</v>
      </c>
      <c r="D95" s="7">
        <v>155.13999999999999</v>
      </c>
      <c r="E95" s="7">
        <v>152.02000000000001</v>
      </c>
      <c r="F95" s="7">
        <v>179.36</v>
      </c>
      <c r="G95" s="7">
        <v>188.48</v>
      </c>
      <c r="H95" s="7">
        <v>184.72</v>
      </c>
    </row>
    <row r="96" spans="2:8" x14ac:dyDescent="0.25">
      <c r="B96" s="3">
        <v>42979</v>
      </c>
      <c r="C96" s="7">
        <v>188.23</v>
      </c>
      <c r="D96" s="7">
        <v>155.36000000000001</v>
      </c>
      <c r="E96" s="7">
        <v>151.87</v>
      </c>
      <c r="F96" s="7">
        <v>178.93</v>
      </c>
      <c r="G96" s="7">
        <v>186.98</v>
      </c>
      <c r="H96" s="7">
        <v>183.66</v>
      </c>
    </row>
    <row r="97" spans="2:8" x14ac:dyDescent="0.25">
      <c r="B97" s="3">
        <v>43009</v>
      </c>
      <c r="C97" s="7">
        <v>188.21</v>
      </c>
      <c r="D97" s="7">
        <v>156.04</v>
      </c>
      <c r="E97" s="7">
        <v>152.99</v>
      </c>
      <c r="F97" s="7">
        <v>179.12</v>
      </c>
      <c r="G97" s="7">
        <v>184.87</v>
      </c>
      <c r="H97" s="7">
        <v>182.5</v>
      </c>
    </row>
    <row r="98" spans="2:8" x14ac:dyDescent="0.25">
      <c r="B98" s="3">
        <v>43040</v>
      </c>
      <c r="C98" s="7">
        <v>187.64</v>
      </c>
      <c r="D98" s="7">
        <v>156.27000000000001</v>
      </c>
      <c r="E98" s="7">
        <v>153.38</v>
      </c>
      <c r="F98" s="7">
        <v>178.78</v>
      </c>
      <c r="G98" s="7">
        <v>184.38</v>
      </c>
      <c r="H98" s="7">
        <v>182.07</v>
      </c>
    </row>
    <row r="99" spans="2:8" x14ac:dyDescent="0.25">
      <c r="B99" s="3">
        <v>43070</v>
      </c>
      <c r="C99" s="7">
        <v>188.73</v>
      </c>
      <c r="D99" s="7">
        <v>157.44</v>
      </c>
      <c r="E99" s="7">
        <v>154.61000000000001</v>
      </c>
      <c r="F99" s="7">
        <v>179.89</v>
      </c>
      <c r="G99" s="7">
        <v>185.27</v>
      </c>
      <c r="H99" s="7">
        <v>183.05</v>
      </c>
    </row>
    <row r="100" spans="2:8" x14ac:dyDescent="0.25">
      <c r="B100" s="3">
        <v>43101</v>
      </c>
      <c r="C100" s="7">
        <v>191.45</v>
      </c>
      <c r="D100" s="23">
        <v>159.79</v>
      </c>
      <c r="E100" s="23">
        <v>156.07</v>
      </c>
      <c r="F100" s="23">
        <v>182.48</v>
      </c>
      <c r="G100" s="7">
        <v>187.57</v>
      </c>
      <c r="H100" s="23">
        <v>185.47</v>
      </c>
    </row>
    <row r="101" spans="2:8" x14ac:dyDescent="0.25">
      <c r="B101" s="3">
        <v>43132</v>
      </c>
      <c r="C101" s="7">
        <v>194.37</v>
      </c>
      <c r="D101" s="23">
        <v>160.71</v>
      </c>
      <c r="E101" s="23">
        <v>157.31</v>
      </c>
      <c r="F101" s="23">
        <v>184.85</v>
      </c>
      <c r="G101" s="7">
        <v>190.2</v>
      </c>
      <c r="H101" s="23">
        <v>188</v>
      </c>
    </row>
    <row r="102" spans="2:8" x14ac:dyDescent="0.25">
      <c r="B102" s="3">
        <v>43160</v>
      </c>
      <c r="C102" s="7">
        <v>198.16</v>
      </c>
      <c r="D102" s="23">
        <v>161.43</v>
      </c>
      <c r="E102" s="23">
        <v>157.56</v>
      </c>
      <c r="F102" s="23">
        <v>187.76</v>
      </c>
      <c r="G102" s="7">
        <v>192.62</v>
      </c>
      <c r="H102" s="23">
        <v>190.62</v>
      </c>
    </row>
    <row r="103" spans="2:8" x14ac:dyDescent="0.25">
      <c r="B103" s="3">
        <v>43191</v>
      </c>
      <c r="C103" s="7">
        <v>200.32</v>
      </c>
      <c r="D103" s="23">
        <v>161.79</v>
      </c>
      <c r="E103" s="23">
        <v>157.57</v>
      </c>
      <c r="F103" s="23">
        <v>189.41</v>
      </c>
      <c r="G103" s="7">
        <v>195.82</v>
      </c>
      <c r="H103" s="23">
        <v>193.18</v>
      </c>
    </row>
    <row r="104" spans="2:8" x14ac:dyDescent="0.25">
      <c r="B104" s="3">
        <v>43221</v>
      </c>
      <c r="C104" s="7">
        <v>202.1</v>
      </c>
      <c r="D104" s="23">
        <v>163</v>
      </c>
      <c r="E104" s="23">
        <v>157.91999999999999</v>
      </c>
      <c r="F104" s="23">
        <v>191</v>
      </c>
      <c r="G104" s="7">
        <v>197.89</v>
      </c>
      <c r="H104" s="23">
        <v>195.05</v>
      </c>
    </row>
    <row r="105" spans="2:8" x14ac:dyDescent="0.25">
      <c r="B105" s="3">
        <v>43252</v>
      </c>
      <c r="C105" s="7">
        <v>200.15</v>
      </c>
      <c r="D105" s="23">
        <v>162.99</v>
      </c>
      <c r="E105" s="23">
        <v>159.61000000000001</v>
      </c>
      <c r="F105" s="23">
        <v>189.66</v>
      </c>
      <c r="G105" s="7">
        <v>195.88</v>
      </c>
      <c r="H105" s="23">
        <v>193.31</v>
      </c>
    </row>
    <row r="106" spans="2:8" x14ac:dyDescent="0.25">
      <c r="B106" s="3">
        <v>43282</v>
      </c>
      <c r="C106" s="7">
        <v>197.39</v>
      </c>
      <c r="D106" s="23">
        <v>162.47999999999999</v>
      </c>
      <c r="E106" s="23">
        <v>159.58000000000001</v>
      </c>
      <c r="F106" s="23">
        <v>187.54</v>
      </c>
      <c r="G106" s="7">
        <v>194.43</v>
      </c>
      <c r="H106" s="23">
        <v>191.59</v>
      </c>
    </row>
    <row r="107" spans="2:8" x14ac:dyDescent="0.25">
      <c r="B107" s="3">
        <v>43313</v>
      </c>
      <c r="C107" s="7">
        <v>195.7</v>
      </c>
      <c r="D107" s="23">
        <v>164.1</v>
      </c>
      <c r="E107" s="23">
        <v>163.82</v>
      </c>
      <c r="F107" s="23">
        <v>186.87</v>
      </c>
      <c r="G107" s="7">
        <v>195.9</v>
      </c>
      <c r="H107" s="23">
        <v>192.18</v>
      </c>
    </row>
    <row r="108" spans="2:8" x14ac:dyDescent="0.25">
      <c r="B108" s="3">
        <v>43344</v>
      </c>
      <c r="C108" s="7">
        <v>196.5</v>
      </c>
      <c r="D108" s="23">
        <v>165.96</v>
      </c>
      <c r="E108" s="23">
        <v>166.18</v>
      </c>
      <c r="F108" s="23">
        <v>187.99</v>
      </c>
      <c r="G108" s="7">
        <v>198.44</v>
      </c>
      <c r="H108" s="23">
        <v>194.14</v>
      </c>
    </row>
    <row r="109" spans="2:8" x14ac:dyDescent="0.25">
      <c r="B109" s="3">
        <v>43374</v>
      </c>
      <c r="C109" s="7">
        <v>193.99</v>
      </c>
      <c r="D109" s="23">
        <v>165.44</v>
      </c>
      <c r="E109" s="23">
        <v>163.93</v>
      </c>
      <c r="F109" s="23">
        <v>185.96</v>
      </c>
      <c r="G109" s="7">
        <v>197.24</v>
      </c>
      <c r="H109" s="23">
        <v>192.59</v>
      </c>
    </row>
    <row r="110" spans="2:8" x14ac:dyDescent="0.25">
      <c r="B110" s="3">
        <v>43405</v>
      </c>
      <c r="C110" s="7">
        <v>194.06</v>
      </c>
      <c r="D110" s="23">
        <v>165.92</v>
      </c>
      <c r="E110" s="23">
        <v>164.01</v>
      </c>
      <c r="F110" s="23">
        <v>186.14</v>
      </c>
      <c r="G110" s="7">
        <v>196.53</v>
      </c>
      <c r="H110" s="23">
        <v>192.25</v>
      </c>
    </row>
    <row r="111" spans="2:8" x14ac:dyDescent="0.25">
      <c r="B111" s="3">
        <v>43435</v>
      </c>
      <c r="C111" s="7">
        <v>195.33</v>
      </c>
      <c r="D111" s="23">
        <v>167.16</v>
      </c>
      <c r="E111" s="23">
        <v>166.77</v>
      </c>
      <c r="F111" s="23">
        <v>187.46</v>
      </c>
      <c r="G111" s="7">
        <v>197.75</v>
      </c>
      <c r="H111" s="23">
        <v>193.51</v>
      </c>
    </row>
    <row r="112" spans="2:8" x14ac:dyDescent="0.25">
      <c r="B112" s="3">
        <v>43466</v>
      </c>
      <c r="C112" s="7">
        <v>197.09</v>
      </c>
      <c r="D112" s="23">
        <v>168.04</v>
      </c>
      <c r="E112" s="23">
        <v>166.21</v>
      </c>
      <c r="F112" s="23">
        <v>188.91</v>
      </c>
      <c r="G112" s="7">
        <v>197.87</v>
      </c>
      <c r="H112" s="23">
        <v>194.18</v>
      </c>
    </row>
    <row r="113" spans="2:8" x14ac:dyDescent="0.25">
      <c r="B113" s="3">
        <v>43497</v>
      </c>
      <c r="C113" s="7">
        <v>199.65</v>
      </c>
      <c r="D113" s="23">
        <v>168.68</v>
      </c>
      <c r="E113" s="23">
        <v>165.89</v>
      </c>
      <c r="F113" s="23">
        <v>190.9</v>
      </c>
      <c r="G113" s="7">
        <v>199.19</v>
      </c>
      <c r="H113" s="23">
        <v>195.78</v>
      </c>
    </row>
    <row r="114" spans="2:8" x14ac:dyDescent="0.25">
      <c r="B114" s="3">
        <v>43525</v>
      </c>
      <c r="C114" s="7">
        <v>204.4</v>
      </c>
      <c r="D114" s="23">
        <v>170.25</v>
      </c>
      <c r="E114" s="23">
        <v>167.16</v>
      </c>
      <c r="F114" s="23">
        <v>194.75</v>
      </c>
      <c r="G114" s="7">
        <v>201.83</v>
      </c>
      <c r="H114" s="23">
        <v>198.91</v>
      </c>
    </row>
    <row r="115" spans="2:8" x14ac:dyDescent="0.25">
      <c r="B115" s="3">
        <v>43556</v>
      </c>
      <c r="C115" s="7">
        <v>213.25</v>
      </c>
      <c r="D115" s="23">
        <v>173.05</v>
      </c>
      <c r="E115" s="23">
        <v>168.84</v>
      </c>
      <c r="F115" s="23">
        <v>201.87</v>
      </c>
      <c r="G115" s="7">
        <v>208.73</v>
      </c>
      <c r="H115" s="23">
        <v>205.9</v>
      </c>
    </row>
    <row r="116" spans="2:8" x14ac:dyDescent="0.25">
      <c r="B116" s="3">
        <v>43586</v>
      </c>
      <c r="C116" s="7">
        <v>211.34</v>
      </c>
      <c r="D116" s="23">
        <v>172.81</v>
      </c>
      <c r="E116" s="23">
        <v>168.62</v>
      </c>
      <c r="F116" s="23">
        <v>200.43</v>
      </c>
      <c r="G116" s="7">
        <v>209.51</v>
      </c>
      <c r="H116" s="23">
        <v>205.77</v>
      </c>
    </row>
    <row r="117" spans="2:8" x14ac:dyDescent="0.25">
      <c r="B117" s="3">
        <v>43617</v>
      </c>
      <c r="C117" s="7">
        <v>209.87</v>
      </c>
      <c r="D117" s="23">
        <v>172.82</v>
      </c>
      <c r="E117" s="23">
        <v>168.82</v>
      </c>
      <c r="F117" s="23">
        <v>199.38</v>
      </c>
      <c r="G117" s="7">
        <v>207.82</v>
      </c>
      <c r="H117" s="23">
        <v>204.34</v>
      </c>
    </row>
    <row r="118" spans="2:8" x14ac:dyDescent="0.25">
      <c r="B118" s="3">
        <v>43647</v>
      </c>
      <c r="C118" s="7">
        <v>209.49</v>
      </c>
      <c r="D118" s="23">
        <v>172.86</v>
      </c>
      <c r="E118" s="23">
        <v>172.86</v>
      </c>
      <c r="F118" s="23">
        <v>199.27</v>
      </c>
      <c r="G118" s="7">
        <v>206.65</v>
      </c>
      <c r="H118" s="23">
        <v>203.61</v>
      </c>
    </row>
    <row r="119" spans="2:8" x14ac:dyDescent="0.25">
      <c r="B119" s="3">
        <v>43678</v>
      </c>
      <c r="C119" s="7">
        <v>206.77</v>
      </c>
      <c r="D119" s="23">
        <v>171.9</v>
      </c>
      <c r="E119" s="23">
        <v>172.59</v>
      </c>
      <c r="F119" s="23">
        <v>197.07</v>
      </c>
      <c r="G119" s="7">
        <v>205.09</v>
      </c>
      <c r="H119" s="23">
        <v>201.78</v>
      </c>
    </row>
    <row r="120" spans="2:8" x14ac:dyDescent="0.25">
      <c r="B120" s="3">
        <v>43709</v>
      </c>
      <c r="C120" s="7">
        <v>206.4</v>
      </c>
      <c r="D120" s="23">
        <v>171.96</v>
      </c>
      <c r="E120" s="23">
        <v>172.66</v>
      </c>
      <c r="F120" s="23">
        <v>196.81</v>
      </c>
      <c r="G120" s="7">
        <v>204.9</v>
      </c>
      <c r="H120" s="23">
        <v>201.57</v>
      </c>
    </row>
    <row r="121" spans="2:8" x14ac:dyDescent="0.25">
      <c r="B121" s="3">
        <v>43739</v>
      </c>
      <c r="C121" s="7">
        <v>207.2</v>
      </c>
      <c r="D121" s="23">
        <v>172.21</v>
      </c>
      <c r="E121" s="23">
        <v>172.4</v>
      </c>
      <c r="F121" s="23">
        <v>197.44</v>
      </c>
      <c r="G121" s="7">
        <v>205.4</v>
      </c>
      <c r="H121" s="23">
        <v>202.12</v>
      </c>
    </row>
    <row r="122" spans="2:8" x14ac:dyDescent="0.25">
      <c r="B122" s="3">
        <v>43770</v>
      </c>
      <c r="C122" s="7">
        <v>208.03</v>
      </c>
      <c r="D122" s="23">
        <v>172.85</v>
      </c>
      <c r="E122" s="23">
        <v>172.7</v>
      </c>
      <c r="F122" s="23">
        <v>198.21</v>
      </c>
      <c r="G122" s="7">
        <v>206.25</v>
      </c>
      <c r="H122" s="23">
        <v>202.94</v>
      </c>
    </row>
    <row r="123" spans="2:8" x14ac:dyDescent="0.25">
      <c r="B123" s="3">
        <v>43800</v>
      </c>
      <c r="C123" s="7">
        <v>210.84</v>
      </c>
      <c r="D123" s="23">
        <v>174.43</v>
      </c>
      <c r="E123" s="23">
        <v>175.65</v>
      </c>
      <c r="F123" s="23">
        <v>200.73</v>
      </c>
      <c r="G123" s="7">
        <v>207.6</v>
      </c>
      <c r="H123" s="23">
        <v>204.77</v>
      </c>
    </row>
    <row r="124" spans="2:8" x14ac:dyDescent="0.25">
      <c r="B124" s="3">
        <v>43831</v>
      </c>
      <c r="C124" s="7">
        <v>107.5</v>
      </c>
      <c r="D124" s="7">
        <v>102.99</v>
      </c>
      <c r="E124" s="7">
        <v>102.65</v>
      </c>
      <c r="F124" s="7">
        <v>105.48</v>
      </c>
      <c r="G124" s="7">
        <v>107.25</v>
      </c>
      <c r="H124" s="7">
        <v>106.51</v>
      </c>
    </row>
    <row r="125" spans="2:8" x14ac:dyDescent="0.25">
      <c r="B125" s="3">
        <v>43862</v>
      </c>
      <c r="C125" s="7">
        <v>108.36</v>
      </c>
      <c r="D125" s="7">
        <v>103.34</v>
      </c>
      <c r="E125" s="7">
        <v>103.41</v>
      </c>
      <c r="F125" s="7">
        <v>106.16</v>
      </c>
      <c r="G125" s="7">
        <v>107.89</v>
      </c>
      <c r="H125" s="7">
        <v>107.17</v>
      </c>
    </row>
    <row r="126" spans="2:8" x14ac:dyDescent="0.25">
      <c r="B126" s="3">
        <v>43891</v>
      </c>
      <c r="C126" s="7">
        <v>108.85</v>
      </c>
      <c r="D126" s="7">
        <v>103.52</v>
      </c>
      <c r="E126" s="7">
        <v>103.42</v>
      </c>
      <c r="F126" s="7">
        <v>106.5</v>
      </c>
      <c r="G126" s="7">
        <v>108.17</v>
      </c>
      <c r="H126" s="7">
        <v>107.47</v>
      </c>
    </row>
    <row r="127" spans="2:8" x14ac:dyDescent="0.25">
      <c r="B127" s="3">
        <v>43922</v>
      </c>
      <c r="C127" s="7">
        <v>109.88</v>
      </c>
      <c r="D127" s="7">
        <v>104.04</v>
      </c>
      <c r="E127" s="7">
        <v>103.69</v>
      </c>
      <c r="F127" s="7">
        <v>107.27</v>
      </c>
      <c r="G127" s="7">
        <v>109.36</v>
      </c>
      <c r="H127" s="7">
        <v>108.49</v>
      </c>
    </row>
    <row r="128" spans="2:8" x14ac:dyDescent="0.25">
      <c r="B128" s="3">
        <v>43952</v>
      </c>
      <c r="C128" s="7">
        <v>109.93</v>
      </c>
      <c r="D128" s="7">
        <v>103.74</v>
      </c>
      <c r="E128" s="7">
        <v>104</v>
      </c>
      <c r="F128" s="7">
        <v>107.24</v>
      </c>
      <c r="G128" s="7">
        <v>109.57</v>
      </c>
      <c r="H128" s="7">
        <v>108.6</v>
      </c>
    </row>
    <row r="129" spans="2:8" x14ac:dyDescent="0.25">
      <c r="B129" s="3">
        <v>43983</v>
      </c>
      <c r="C129" s="7">
        <v>109.7</v>
      </c>
      <c r="D129" s="7">
        <v>104.14</v>
      </c>
      <c r="E129" s="7">
        <v>103.84</v>
      </c>
      <c r="F129" s="7">
        <v>107.22</v>
      </c>
      <c r="G129" s="7">
        <v>109.01</v>
      </c>
      <c r="H129" s="7">
        <v>108.27</v>
      </c>
    </row>
    <row r="130" spans="2:8" x14ac:dyDescent="0.25">
      <c r="B130" s="3">
        <v>44013</v>
      </c>
      <c r="C130" s="7">
        <v>110.01</v>
      </c>
      <c r="D130" s="7">
        <v>103.37</v>
      </c>
      <c r="E130" s="7">
        <v>103.79</v>
      </c>
      <c r="F130" s="7">
        <v>107.14</v>
      </c>
      <c r="G130" s="7">
        <v>109.22</v>
      </c>
      <c r="H130" s="7">
        <v>108.35</v>
      </c>
    </row>
    <row r="131" spans="2:8" x14ac:dyDescent="0.25">
      <c r="B131" s="3">
        <v>44044</v>
      </c>
      <c r="C131" s="7">
        <v>109.9</v>
      </c>
      <c r="D131" s="7">
        <v>103.49</v>
      </c>
      <c r="E131" s="7">
        <v>104.55</v>
      </c>
      <c r="F131" s="7">
        <v>107.21</v>
      </c>
      <c r="G131" s="7">
        <v>109.54</v>
      </c>
      <c r="H131" s="7">
        <v>108.57</v>
      </c>
    </row>
    <row r="132" spans="2:8" x14ac:dyDescent="0.25">
      <c r="B132" s="3">
        <v>44075</v>
      </c>
      <c r="C132" s="7">
        <v>110.04</v>
      </c>
      <c r="D132" s="7">
        <v>103.63</v>
      </c>
      <c r="E132" s="7">
        <v>104.26</v>
      </c>
      <c r="F132" s="7">
        <v>107.3</v>
      </c>
      <c r="G132" s="7">
        <v>109.48</v>
      </c>
      <c r="H132" s="7">
        <v>108.57</v>
      </c>
    </row>
    <row r="133" spans="2:8" x14ac:dyDescent="0.25">
      <c r="B133" s="3">
        <v>44105</v>
      </c>
      <c r="C133" s="7">
        <v>110.4</v>
      </c>
      <c r="D133" s="7">
        <v>104.42</v>
      </c>
      <c r="E133" s="7">
        <v>104.6</v>
      </c>
      <c r="F133" s="7">
        <v>107.79</v>
      </c>
      <c r="G133" s="7">
        <v>110.89</v>
      </c>
      <c r="H133" s="7">
        <v>109.6</v>
      </c>
    </row>
    <row r="134" spans="2:8" x14ac:dyDescent="0.25">
      <c r="B134" s="3">
        <v>44136</v>
      </c>
      <c r="C134" s="7">
        <v>111.31</v>
      </c>
      <c r="D134" s="7">
        <v>104.76</v>
      </c>
      <c r="E134" s="7">
        <v>104.59</v>
      </c>
      <c r="F134" s="7">
        <v>108.41</v>
      </c>
      <c r="G134" s="7">
        <v>112.46</v>
      </c>
      <c r="H134" s="7">
        <v>110.78</v>
      </c>
    </row>
    <row r="135" spans="2:8" x14ac:dyDescent="0.25">
      <c r="B135" s="3">
        <v>44166</v>
      </c>
      <c r="C135" s="7">
        <v>113.06</v>
      </c>
      <c r="D135" s="7">
        <v>105.65</v>
      </c>
      <c r="E135" s="7">
        <v>105.1</v>
      </c>
      <c r="F135" s="7">
        <v>109.74</v>
      </c>
      <c r="G135" s="7">
        <v>113.38</v>
      </c>
      <c r="H135" s="7">
        <v>111.87</v>
      </c>
    </row>
    <row r="136" spans="2:8" x14ac:dyDescent="0.25">
      <c r="B136" s="3">
        <v>44197</v>
      </c>
      <c r="C136" s="7">
        <v>113.63</v>
      </c>
      <c r="D136" s="7">
        <v>106.2</v>
      </c>
      <c r="E136" s="7">
        <v>105.63</v>
      </c>
      <c r="F136" s="7">
        <v>110.3</v>
      </c>
      <c r="G136" s="7">
        <v>114.2</v>
      </c>
      <c r="H136" s="7">
        <v>112.58</v>
      </c>
    </row>
    <row r="137" spans="2:8" x14ac:dyDescent="0.25">
      <c r="B137" s="3">
        <v>44228</v>
      </c>
      <c r="C137" s="7">
        <v>114.56</v>
      </c>
      <c r="D137" s="7">
        <v>106.75</v>
      </c>
      <c r="E137" s="7">
        <v>106.56</v>
      </c>
      <c r="F137" s="7">
        <v>111.11</v>
      </c>
      <c r="G137" s="7">
        <v>114.97</v>
      </c>
      <c r="H137" s="7">
        <v>113.36</v>
      </c>
    </row>
    <row r="138" spans="2:8" x14ac:dyDescent="0.25">
      <c r="B138" s="3">
        <v>44256</v>
      </c>
      <c r="C138" s="7">
        <v>115.15</v>
      </c>
      <c r="D138" s="7">
        <v>107.12</v>
      </c>
      <c r="E138" s="7">
        <v>107.25</v>
      </c>
      <c r="F138" s="7">
        <v>111.64</v>
      </c>
      <c r="G138" s="7">
        <v>115.36</v>
      </c>
      <c r="H138" s="7">
        <v>113.81</v>
      </c>
    </row>
    <row r="139" spans="2:8" x14ac:dyDescent="0.25">
      <c r="B139" s="3">
        <v>44287</v>
      </c>
      <c r="C139" s="7">
        <v>116.11</v>
      </c>
      <c r="D139" s="7">
        <v>107.64</v>
      </c>
      <c r="E139" s="7">
        <v>107.38</v>
      </c>
      <c r="F139" s="7">
        <v>112.36</v>
      </c>
      <c r="G139" s="7">
        <v>116.44</v>
      </c>
      <c r="H139" s="7">
        <v>114.75</v>
      </c>
    </row>
    <row r="140" spans="2:8" x14ac:dyDescent="0.25">
      <c r="B140" s="3">
        <v>44317</v>
      </c>
      <c r="C140" s="7">
        <v>116.37</v>
      </c>
      <c r="D140" s="7">
        <v>107.75</v>
      </c>
      <c r="E140" s="7">
        <v>107.86</v>
      </c>
      <c r="F140" s="7">
        <v>112.6</v>
      </c>
      <c r="G140" s="7">
        <v>116.67</v>
      </c>
      <c r="H140" s="7">
        <v>114.98</v>
      </c>
    </row>
    <row r="141" spans="2:8" x14ac:dyDescent="0.25">
      <c r="B141" s="3">
        <v>44348</v>
      </c>
      <c r="C141" s="7">
        <v>116.48</v>
      </c>
      <c r="D141" s="7">
        <v>107.88</v>
      </c>
      <c r="E141" s="7">
        <v>108.15</v>
      </c>
      <c r="F141" s="7">
        <v>112.73</v>
      </c>
      <c r="G141" s="7">
        <v>116.8</v>
      </c>
      <c r="H141" s="7">
        <v>115.11</v>
      </c>
    </row>
    <row r="142" spans="2:8" x14ac:dyDescent="0.25">
      <c r="B142" s="3">
        <v>44378</v>
      </c>
      <c r="C142" s="7">
        <v>116.8</v>
      </c>
      <c r="D142" s="7">
        <v>108.63</v>
      </c>
      <c r="E142" s="7">
        <v>108.42</v>
      </c>
      <c r="F142" s="7">
        <v>113.19</v>
      </c>
      <c r="G142" s="7">
        <v>117.05</v>
      </c>
      <c r="H142" s="7">
        <v>115.45</v>
      </c>
    </row>
    <row r="143" spans="2:8" x14ac:dyDescent="0.25">
      <c r="B143" s="3">
        <v>44409</v>
      </c>
      <c r="C143" s="7">
        <v>116.86</v>
      </c>
      <c r="D143" s="7">
        <v>108.88</v>
      </c>
      <c r="E143" s="7">
        <v>108.54</v>
      </c>
      <c r="F143" s="7">
        <v>113.31</v>
      </c>
      <c r="G143" s="7">
        <v>117.42</v>
      </c>
      <c r="H143" s="7">
        <v>115.71</v>
      </c>
    </row>
    <row r="144" spans="2:8" x14ac:dyDescent="0.25">
      <c r="B144" s="3">
        <v>44440</v>
      </c>
      <c r="C144" s="7">
        <v>117.16</v>
      </c>
      <c r="D144" s="7">
        <v>109.27</v>
      </c>
      <c r="E144" s="7">
        <v>109.3</v>
      </c>
      <c r="F144" s="7">
        <v>113.7</v>
      </c>
      <c r="G144" s="7">
        <v>117.77</v>
      </c>
      <c r="H144" s="7">
        <v>116.08</v>
      </c>
    </row>
    <row r="145" spans="2:8" x14ac:dyDescent="0.25">
      <c r="B145" s="3">
        <v>44470</v>
      </c>
      <c r="C145" s="7">
        <v>117.6</v>
      </c>
      <c r="D145" s="7">
        <v>109.42</v>
      </c>
      <c r="E145" s="7">
        <v>109.42</v>
      </c>
      <c r="F145" s="7">
        <v>114</v>
      </c>
      <c r="G145" s="7">
        <v>118.57</v>
      </c>
      <c r="H145" s="7">
        <v>116.67</v>
      </c>
    </row>
    <row r="146" spans="2:8" x14ac:dyDescent="0.25">
      <c r="B146" s="3">
        <v>44501</v>
      </c>
      <c r="C146" s="7">
        <v>117.84</v>
      </c>
      <c r="D146" s="7">
        <v>109.69</v>
      </c>
      <c r="E146" s="7">
        <v>109.69</v>
      </c>
      <c r="F146" s="7">
        <v>114.26</v>
      </c>
      <c r="G146" s="7">
        <v>119.3</v>
      </c>
      <c r="H146" s="7">
        <v>117.2</v>
      </c>
    </row>
    <row r="147" spans="2:8" x14ac:dyDescent="0.25">
      <c r="B147" s="3">
        <v>44531</v>
      </c>
      <c r="C147" s="7">
        <v>119.56</v>
      </c>
      <c r="D147" s="7">
        <v>110.37</v>
      </c>
      <c r="E147" s="7">
        <v>110.09</v>
      </c>
      <c r="F147" s="7">
        <v>115.49</v>
      </c>
      <c r="G147" s="7">
        <v>120.26</v>
      </c>
      <c r="H147" s="7">
        <v>118.27</v>
      </c>
    </row>
    <row r="148" spans="2:8" x14ac:dyDescent="0.25">
      <c r="B148" s="3">
        <v>44562</v>
      </c>
      <c r="C148" s="7">
        <v>120.04</v>
      </c>
      <c r="D148" s="23">
        <v>110.44</v>
      </c>
      <c r="E148" s="23">
        <v>110.16</v>
      </c>
      <c r="F148" s="23">
        <v>115.79</v>
      </c>
      <c r="G148" s="23">
        <v>120.67</v>
      </c>
      <c r="H148" s="23">
        <v>118.64</v>
      </c>
    </row>
    <row r="149" spans="2:8" x14ac:dyDescent="0.25">
      <c r="B149" s="3">
        <v>44593</v>
      </c>
      <c r="C149" s="7">
        <v>120.76</v>
      </c>
      <c r="D149" s="23">
        <v>110.82</v>
      </c>
      <c r="E149" s="23">
        <v>110.47</v>
      </c>
      <c r="F149" s="23">
        <v>116.35</v>
      </c>
      <c r="G149" s="23">
        <v>121.11</v>
      </c>
      <c r="H149" s="23">
        <v>119.13</v>
      </c>
    </row>
    <row r="150" spans="2:8" x14ac:dyDescent="0.25">
      <c r="B150" s="3">
        <v>44621</v>
      </c>
      <c r="C150" s="7">
        <v>121.94</v>
      </c>
      <c r="D150" s="23">
        <v>111.46</v>
      </c>
      <c r="E150" s="23">
        <v>111.3</v>
      </c>
      <c r="F150" s="23">
        <v>117.32</v>
      </c>
      <c r="G150" s="23">
        <v>122.15</v>
      </c>
      <c r="H150" s="23">
        <v>120.14</v>
      </c>
    </row>
    <row r="151" spans="2:8" x14ac:dyDescent="0.25">
      <c r="B151" s="3">
        <v>44652</v>
      </c>
      <c r="C151" s="7">
        <v>123.94</v>
      </c>
      <c r="D151" s="23">
        <v>112.9</v>
      </c>
      <c r="E151" s="23">
        <v>112.78</v>
      </c>
      <c r="F151" s="23">
        <v>119.07</v>
      </c>
      <c r="G151" s="23">
        <v>124.38</v>
      </c>
      <c r="H151" s="23">
        <v>122.17</v>
      </c>
    </row>
    <row r="152" spans="2:8" x14ac:dyDescent="0.25">
      <c r="B152" s="3">
        <v>44682</v>
      </c>
      <c r="C152" s="7">
        <v>124.89</v>
      </c>
      <c r="D152" s="23">
        <v>113.5</v>
      </c>
      <c r="E152" s="23">
        <v>113.57</v>
      </c>
      <c r="F152" s="23">
        <v>119.89</v>
      </c>
      <c r="G152" s="23">
        <v>125.42</v>
      </c>
      <c r="H152" s="23">
        <v>123.12</v>
      </c>
    </row>
    <row r="153" spans="2:8" x14ac:dyDescent="0.25">
      <c r="B153" s="3">
        <v>44713</v>
      </c>
      <c r="C153" s="7">
        <v>126.02</v>
      </c>
      <c r="D153" s="23">
        <v>114.62</v>
      </c>
      <c r="E153" s="23">
        <v>114.33</v>
      </c>
      <c r="F153" s="23">
        <v>120.98</v>
      </c>
      <c r="G153" s="23">
        <v>126.52</v>
      </c>
      <c r="H153" s="23">
        <v>124.22</v>
      </c>
    </row>
    <row r="154" spans="2:8" x14ac:dyDescent="0.25">
      <c r="B154" s="3">
        <v>44743</v>
      </c>
      <c r="C154" s="7">
        <v>127.02</v>
      </c>
      <c r="D154" s="23">
        <v>115.44</v>
      </c>
      <c r="E154" s="23">
        <v>114.93</v>
      </c>
      <c r="F154" s="23">
        <v>121.87</v>
      </c>
      <c r="G154" s="23">
        <v>127.31</v>
      </c>
      <c r="H154" s="23">
        <v>125.05</v>
      </c>
    </row>
    <row r="155" spans="2:8" x14ac:dyDescent="0.25">
      <c r="B155" s="3">
        <v>44774</v>
      </c>
      <c r="C155" s="7">
        <v>127.6</v>
      </c>
      <c r="D155" s="23">
        <v>115.92</v>
      </c>
      <c r="E155" s="23">
        <v>115.26</v>
      </c>
      <c r="F155" s="23">
        <v>122.39</v>
      </c>
      <c r="G155" s="23">
        <v>127.84</v>
      </c>
      <c r="H155" s="23">
        <v>125.58</v>
      </c>
    </row>
    <row r="156" spans="2:8" x14ac:dyDescent="0.25">
      <c r="B156" s="3">
        <v>44805</v>
      </c>
      <c r="C156" s="7">
        <v>128.58000000000001</v>
      </c>
      <c r="D156" s="23">
        <v>117.29</v>
      </c>
      <c r="E156" s="23">
        <v>116.87</v>
      </c>
      <c r="F156" s="23">
        <v>123.57</v>
      </c>
      <c r="G156" s="23">
        <v>128.97</v>
      </c>
      <c r="H156" s="23">
        <v>126.73</v>
      </c>
    </row>
    <row r="157" spans="2:8" x14ac:dyDescent="0.25">
      <c r="B157" s="3">
        <v>44835</v>
      </c>
      <c r="C157" s="7">
        <v>129.56</v>
      </c>
      <c r="D157" s="23">
        <v>118.04</v>
      </c>
      <c r="E157" s="23">
        <v>117.16</v>
      </c>
      <c r="F157" s="23">
        <v>124.39</v>
      </c>
      <c r="G157" s="23">
        <v>130.33000000000001</v>
      </c>
      <c r="H157" s="23">
        <v>127.86</v>
      </c>
    </row>
    <row r="158" spans="2:8" x14ac:dyDescent="0.25">
      <c r="B158" s="3">
        <v>44866</v>
      </c>
      <c r="C158" s="7">
        <v>130.05000000000001</v>
      </c>
      <c r="D158" s="23">
        <v>118.23</v>
      </c>
      <c r="E158" s="23">
        <v>117.25</v>
      </c>
      <c r="F158" s="23">
        <v>124.74</v>
      </c>
      <c r="G158" s="23">
        <v>130.85</v>
      </c>
      <c r="H158" s="23">
        <v>128.31</v>
      </c>
    </row>
    <row r="159" spans="2:8" x14ac:dyDescent="0.25">
      <c r="B159" s="3">
        <v>44896</v>
      </c>
      <c r="C159" s="7">
        <v>130.59</v>
      </c>
      <c r="D159" s="23">
        <v>118.63</v>
      </c>
      <c r="E159" s="23">
        <v>117.64</v>
      </c>
      <c r="F159" s="23">
        <v>125.22</v>
      </c>
      <c r="G159" s="23">
        <v>131.68</v>
      </c>
      <c r="H159" s="23">
        <v>128.99</v>
      </c>
    </row>
    <row r="160" spans="2:8" x14ac:dyDescent="0.25">
      <c r="B160" s="3">
        <v>44927</v>
      </c>
      <c r="C160" s="7">
        <v>130.97999999999999</v>
      </c>
      <c r="D160" s="23">
        <v>118.93</v>
      </c>
      <c r="E160" s="23">
        <v>117.93</v>
      </c>
      <c r="F160" s="23">
        <v>125.57</v>
      </c>
      <c r="G160" s="23">
        <v>131.94</v>
      </c>
      <c r="H160" s="23">
        <v>129.29</v>
      </c>
    </row>
    <row r="161" spans="2:8" x14ac:dyDescent="0.25">
      <c r="B161" s="3">
        <v>44958</v>
      </c>
      <c r="C161" s="7">
        <v>131.91999999999999</v>
      </c>
      <c r="D161" s="23">
        <v>119.38</v>
      </c>
      <c r="E161" s="23">
        <v>118.32</v>
      </c>
      <c r="F161" s="23">
        <v>126.29</v>
      </c>
      <c r="G161" s="23">
        <v>132.86000000000001</v>
      </c>
      <c r="H161" s="23">
        <v>130.13</v>
      </c>
    </row>
    <row r="162" spans="2:8" x14ac:dyDescent="0.25">
      <c r="B162" s="3">
        <v>44986</v>
      </c>
      <c r="C162" s="7">
        <v>132.97</v>
      </c>
      <c r="D162" s="23">
        <v>119.9</v>
      </c>
      <c r="E162" s="23">
        <v>118.81</v>
      </c>
      <c r="F162" s="23">
        <v>127.1</v>
      </c>
      <c r="G162" s="23">
        <v>134.09</v>
      </c>
      <c r="H162" s="23">
        <v>131.18</v>
      </c>
    </row>
    <row r="163" spans="2:8" x14ac:dyDescent="0.25">
      <c r="B163" s="3">
        <v>45017</v>
      </c>
      <c r="C163" s="7">
        <v>133.49</v>
      </c>
      <c r="D163" s="23">
        <v>120.76</v>
      </c>
      <c r="E163" s="23">
        <v>119.07</v>
      </c>
      <c r="F163" s="23">
        <v>127.7</v>
      </c>
      <c r="G163" s="23">
        <v>134.77000000000001</v>
      </c>
      <c r="H163" s="23">
        <v>131.83000000000001</v>
      </c>
    </row>
    <row r="164" spans="2:8" x14ac:dyDescent="0.25">
      <c r="B164" s="3">
        <v>45047</v>
      </c>
      <c r="C164" s="7">
        <v>134.63999999999999</v>
      </c>
      <c r="D164" s="23">
        <v>121.47</v>
      </c>
      <c r="E164" s="23">
        <v>120.1</v>
      </c>
      <c r="F164" s="23">
        <v>128.69</v>
      </c>
      <c r="G164" s="23">
        <v>136.08000000000001</v>
      </c>
      <c r="H164" s="23">
        <v>133.01</v>
      </c>
    </row>
    <row r="165" spans="2:8" x14ac:dyDescent="0.25">
      <c r="B165" s="3">
        <v>45078</v>
      </c>
      <c r="C165" s="7">
        <v>135.66999999999999</v>
      </c>
      <c r="D165" s="23">
        <v>122.27</v>
      </c>
      <c r="E165" s="23">
        <v>120.62</v>
      </c>
      <c r="F165" s="23">
        <v>129.59</v>
      </c>
      <c r="G165" s="23">
        <v>137.16</v>
      </c>
      <c r="H165" s="23">
        <v>134.01</v>
      </c>
    </row>
    <row r="166" spans="2:8" x14ac:dyDescent="0.25">
      <c r="B166" s="3">
        <v>45108</v>
      </c>
      <c r="C166" s="7">
        <v>135.57</v>
      </c>
      <c r="D166" s="23">
        <v>122.37</v>
      </c>
      <c r="E166" s="23">
        <v>121.11</v>
      </c>
      <c r="F166" s="23">
        <v>129.63</v>
      </c>
      <c r="G166" s="23">
        <v>137.37</v>
      </c>
      <c r="H166" s="23">
        <v>134.15</v>
      </c>
    </row>
    <row r="167" spans="2:8" x14ac:dyDescent="0.25">
      <c r="B167" s="3">
        <v>45139</v>
      </c>
      <c r="C167" s="7">
        <v>135.38999999999999</v>
      </c>
      <c r="D167" s="23">
        <v>122.59</v>
      </c>
      <c r="E167" s="23">
        <v>121.21</v>
      </c>
      <c r="F167" s="23">
        <v>129.6</v>
      </c>
      <c r="G167" s="23">
        <v>137.16999999999999</v>
      </c>
      <c r="H167" s="23">
        <v>134.02000000000001</v>
      </c>
    </row>
    <row r="168" spans="2:8" x14ac:dyDescent="0.25">
      <c r="B168" s="3">
        <v>45170</v>
      </c>
      <c r="C168" s="7">
        <v>136.68</v>
      </c>
      <c r="D168" s="23">
        <v>124.05</v>
      </c>
      <c r="E168" s="23">
        <v>123.2</v>
      </c>
      <c r="F168" s="23">
        <v>131.03</v>
      </c>
      <c r="G168" s="23">
        <v>138.38</v>
      </c>
      <c r="H168" s="23">
        <v>135.32</v>
      </c>
    </row>
    <row r="169" spans="2:8" x14ac:dyDescent="0.25">
      <c r="B169" s="3">
        <v>45200</v>
      </c>
      <c r="C169" s="7">
        <v>138.22</v>
      </c>
      <c r="D169" s="23">
        <v>124.94</v>
      </c>
      <c r="E169" s="23">
        <v>124.48</v>
      </c>
      <c r="F169" s="23">
        <v>132.33000000000001</v>
      </c>
      <c r="G169" s="23">
        <v>139.83000000000001</v>
      </c>
      <c r="H169" s="23">
        <v>136.71</v>
      </c>
    </row>
    <row r="170" spans="2:8" x14ac:dyDescent="0.25">
      <c r="B170" s="3">
        <v>45231</v>
      </c>
      <c r="C170" s="7">
        <v>138.49</v>
      </c>
      <c r="D170" s="23">
        <v>125.17</v>
      </c>
      <c r="E170" s="23">
        <v>124.75</v>
      </c>
      <c r="F170" s="23">
        <v>132.58000000000001</v>
      </c>
      <c r="G170" s="23">
        <v>140.19999999999999</v>
      </c>
      <c r="H170" s="23">
        <v>137.03</v>
      </c>
    </row>
    <row r="171" spans="2:8" x14ac:dyDescent="0.25">
      <c r="B171" s="3">
        <v>45261</v>
      </c>
      <c r="C171" s="7">
        <v>138.88999999999999</v>
      </c>
      <c r="D171" s="23">
        <v>125.94</v>
      </c>
      <c r="E171" s="23">
        <v>125.43</v>
      </c>
      <c r="F171" s="23">
        <v>133.13999999999999</v>
      </c>
      <c r="G171" s="23">
        <v>140.69</v>
      </c>
      <c r="H171" s="23">
        <v>137.55000000000001</v>
      </c>
    </row>
    <row r="172" spans="2:8" x14ac:dyDescent="0.25">
      <c r="B172" s="3">
        <v>45292</v>
      </c>
      <c r="C172" s="7">
        <v>139.19</v>
      </c>
      <c r="D172" s="23">
        <v>126.94</v>
      </c>
      <c r="E172" s="23">
        <v>125.97</v>
      </c>
      <c r="F172" s="23">
        <v>133.69</v>
      </c>
      <c r="G172" s="23">
        <v>141.33000000000001</v>
      </c>
      <c r="H172" s="23">
        <v>138.15</v>
      </c>
    </row>
    <row r="173" spans="2:8" x14ac:dyDescent="0.25">
      <c r="B173" s="3">
        <v>45323</v>
      </c>
      <c r="C173" s="2">
        <v>139.47</v>
      </c>
      <c r="D173" s="2">
        <v>127.41</v>
      </c>
      <c r="E173" s="2">
        <v>126.39</v>
      </c>
      <c r="F173" s="2">
        <v>134.05000000000001</v>
      </c>
      <c r="G173" s="2">
        <v>141.38999999999999</v>
      </c>
      <c r="H173" s="2">
        <v>138.34</v>
      </c>
    </row>
    <row r="174" spans="2:8" x14ac:dyDescent="0.25">
      <c r="B174" s="3">
        <v>45352</v>
      </c>
      <c r="C174" s="7">
        <v>139.94999999999999</v>
      </c>
      <c r="D174" s="7">
        <v>127.48</v>
      </c>
      <c r="E174" s="7">
        <v>126.58</v>
      </c>
      <c r="F174" s="7">
        <v>134.37</v>
      </c>
      <c r="G174" s="7">
        <v>141.72</v>
      </c>
      <c r="H174" s="7">
        <v>138.66</v>
      </c>
    </row>
    <row r="175" spans="2:8" x14ac:dyDescent="0.25">
      <c r="B175" s="3">
        <v>45383</v>
      </c>
      <c r="C175" s="7">
        <v>139.59</v>
      </c>
      <c r="D175" s="7">
        <v>127.21</v>
      </c>
      <c r="E175" s="7">
        <v>126.35</v>
      </c>
      <c r="F175" s="7">
        <v>134.05000000000001</v>
      </c>
      <c r="G175" s="7">
        <v>141.5</v>
      </c>
      <c r="H175" s="7">
        <v>138.4</v>
      </c>
    </row>
    <row r="176" spans="2:8" x14ac:dyDescent="0.25">
      <c r="B176" s="3">
        <v>45413</v>
      </c>
      <c r="C176" s="7">
        <v>141.02000000000001</v>
      </c>
      <c r="D176" s="7">
        <v>127.96</v>
      </c>
      <c r="E176" s="7">
        <v>126.96</v>
      </c>
      <c r="F176" s="7">
        <v>135.16999999999999</v>
      </c>
      <c r="G176" s="7">
        <v>142.82</v>
      </c>
      <c r="H176" s="7">
        <v>139.63999999999999</v>
      </c>
    </row>
    <row r="177" spans="2:8" x14ac:dyDescent="0.25">
      <c r="B177" s="3">
        <v>45444</v>
      </c>
      <c r="C177" s="7">
        <v>141.5</v>
      </c>
      <c r="D177" s="7">
        <v>128.59</v>
      </c>
      <c r="E177" s="7">
        <v>127.14</v>
      </c>
      <c r="F177" s="7">
        <v>135.65</v>
      </c>
      <c r="G177" s="7">
        <v>143.47999999999999</v>
      </c>
      <c r="H177" s="7">
        <v>140.22999999999999</v>
      </c>
    </row>
    <row r="178" spans="2:8" x14ac:dyDescent="0.25">
      <c r="B178" s="3">
        <v>45474</v>
      </c>
      <c r="C178" s="7">
        <v>141.05000000000001</v>
      </c>
      <c r="D178" s="7">
        <v>128.35</v>
      </c>
      <c r="E178" s="7">
        <v>127.09</v>
      </c>
      <c r="F178" s="7">
        <v>135.32</v>
      </c>
      <c r="G178" s="7">
        <v>143.22</v>
      </c>
      <c r="H178" s="7">
        <v>139.94</v>
      </c>
    </row>
    <row r="179" spans="2:8" x14ac:dyDescent="0.25">
      <c r="B179" s="3">
        <v>45505</v>
      </c>
      <c r="C179" s="7">
        <v>141.15</v>
      </c>
      <c r="D179" s="7">
        <v>128.66</v>
      </c>
      <c r="E179" s="7">
        <v>127</v>
      </c>
      <c r="F179" s="7" t="s">
        <v>157</v>
      </c>
      <c r="G179" s="7">
        <v>143</v>
      </c>
      <c r="H179" s="7">
        <v>139.87</v>
      </c>
    </row>
    <row r="180" spans="2:8" x14ac:dyDescent="0.25">
      <c r="B180" s="3">
        <v>45536</v>
      </c>
      <c r="C180" s="7">
        <v>141.34</v>
      </c>
      <c r="D180" s="7">
        <v>129.12</v>
      </c>
      <c r="E180" s="7">
        <v>127.47</v>
      </c>
      <c r="F180" s="7">
        <v>135.77000000000001</v>
      </c>
      <c r="G180" s="7">
        <v>143.24</v>
      </c>
      <c r="H180" s="7">
        <v>140.13</v>
      </c>
    </row>
    <row r="181" spans="2:8" x14ac:dyDescent="0.25">
      <c r="B181" s="3">
        <v>45566</v>
      </c>
      <c r="C181" s="2">
        <v>141.47999999999999</v>
      </c>
      <c r="D181" s="2">
        <v>129.86000000000001</v>
      </c>
      <c r="E181" s="2">
        <v>127.75</v>
      </c>
      <c r="F181" s="2">
        <v>136.12</v>
      </c>
      <c r="G181" s="2">
        <v>143.5</v>
      </c>
      <c r="H181" s="2">
        <v>140.44</v>
      </c>
    </row>
    <row r="182" spans="2:8" x14ac:dyDescent="0.25">
      <c r="B182" s="3">
        <v>45597</v>
      </c>
      <c r="C182" s="2">
        <v>141.88999999999999</v>
      </c>
      <c r="D182" s="2">
        <v>130.37</v>
      </c>
      <c r="E182" s="2">
        <v>128.09</v>
      </c>
      <c r="F182" s="2">
        <v>136.56</v>
      </c>
      <c r="G182" s="2">
        <v>143.83000000000001</v>
      </c>
      <c r="H182" s="2">
        <v>140.81</v>
      </c>
    </row>
    <row r="183" spans="2:8" x14ac:dyDescent="0.25">
      <c r="B183" s="3">
        <v>45627</v>
      </c>
      <c r="C183" s="2">
        <v>143.26</v>
      </c>
      <c r="D183" s="2">
        <v>130.83000000000001</v>
      </c>
      <c r="E183" s="2">
        <v>128.47</v>
      </c>
      <c r="F183" s="2">
        <v>137.52000000000001</v>
      </c>
      <c r="G183" s="2">
        <v>144.6</v>
      </c>
      <c r="H183" s="2">
        <v>141.66</v>
      </c>
    </row>
    <row r="184" spans="2:8" x14ac:dyDescent="0.25">
      <c r="B184" s="3">
        <v>45658</v>
      </c>
      <c r="C184" s="2">
        <v>144.55000000000001</v>
      </c>
      <c r="D184" s="2">
        <v>131.79</v>
      </c>
      <c r="E184" s="2">
        <v>128.96</v>
      </c>
      <c r="F184" s="2">
        <v>138.62</v>
      </c>
      <c r="G184" s="2">
        <v>145.58000000000001</v>
      </c>
      <c r="H184" s="2">
        <v>142.68</v>
      </c>
    </row>
    <row r="185" spans="2:8" x14ac:dyDescent="0.25">
      <c r="B185" s="3">
        <v>45689</v>
      </c>
      <c r="C185" s="2">
        <v>144.88999999999999</v>
      </c>
      <c r="D185" s="2">
        <v>132.41999999999999</v>
      </c>
      <c r="E185" s="2">
        <v>129.76</v>
      </c>
      <c r="F185" s="2">
        <v>139.1</v>
      </c>
      <c r="G185" s="2">
        <v>145.97</v>
      </c>
      <c r="H185" s="2">
        <v>143.12</v>
      </c>
    </row>
    <row r="186" spans="2:8" x14ac:dyDescent="0.25">
      <c r="B186" s="3">
        <v>45717</v>
      </c>
      <c r="C186" s="2">
        <v>145.41999999999999</v>
      </c>
      <c r="D186" s="2">
        <v>132.86000000000001</v>
      </c>
      <c r="E186" s="2">
        <v>130.44</v>
      </c>
      <c r="F186" s="2">
        <v>139.62</v>
      </c>
      <c r="G186" s="2">
        <v>146.58000000000001</v>
      </c>
      <c r="H186" s="2">
        <v>143.69</v>
      </c>
    </row>
    <row r="187" spans="2:8" x14ac:dyDescent="0.25">
      <c r="B187" s="3">
        <v>45748</v>
      </c>
      <c r="C187" s="2">
        <v>145.66999999999999</v>
      </c>
      <c r="D187" s="2">
        <v>133.22999999999999</v>
      </c>
      <c r="E187" s="2">
        <v>130.72</v>
      </c>
      <c r="F187" s="2">
        <v>139.91</v>
      </c>
      <c r="G187" s="2">
        <v>147.06</v>
      </c>
      <c r="H187" s="2">
        <v>144.09</v>
      </c>
    </row>
    <row r="188" spans="2:8" x14ac:dyDescent="0.25">
      <c r="B188" s="3">
        <v>45778</v>
      </c>
      <c r="C188" s="2">
        <v>146.15</v>
      </c>
      <c r="D188" s="2">
        <v>134.57</v>
      </c>
      <c r="E188" s="2">
        <v>131.19</v>
      </c>
      <c r="F188" s="2">
        <v>140.66</v>
      </c>
      <c r="G188" s="2">
        <v>147.87</v>
      </c>
      <c r="H188" s="2">
        <v>144.88</v>
      </c>
    </row>
    <row r="189" spans="2:8" x14ac:dyDescent="0.25">
      <c r="B189" s="3">
        <v>45809</v>
      </c>
      <c r="C189" s="2">
        <v>146.99</v>
      </c>
      <c r="D189" s="2">
        <v>135.18</v>
      </c>
      <c r="E189" s="2">
        <v>131.71</v>
      </c>
      <c r="F189" s="2">
        <v>141.38999999999999</v>
      </c>
      <c r="G189" s="2">
        <v>148.56</v>
      </c>
      <c r="H189" s="2">
        <v>145.58000000000001</v>
      </c>
    </row>
    <row r="190" spans="2:8" x14ac:dyDescent="0.25">
      <c r="B190" s="3">
        <v>45839</v>
      </c>
      <c r="C190" s="2">
        <v>147.22</v>
      </c>
      <c r="D190" s="2">
        <v>135.53</v>
      </c>
      <c r="E190" s="2">
        <v>132.63</v>
      </c>
      <c r="F190" s="2">
        <v>141.74</v>
      </c>
      <c r="G190" s="2">
        <v>148.59</v>
      </c>
      <c r="H190" s="2">
        <v>145.74</v>
      </c>
    </row>
    <row r="191" spans="2:8" x14ac:dyDescent="0.25">
      <c r="B191" s="3">
        <v>45870</v>
      </c>
      <c r="C191" s="2">
        <v>147.91</v>
      </c>
      <c r="D191" s="2">
        <v>135.66999999999999</v>
      </c>
      <c r="E191" s="2">
        <v>132.9</v>
      </c>
      <c r="F191" s="2">
        <v>142.21</v>
      </c>
      <c r="G191" s="2">
        <v>149.06</v>
      </c>
      <c r="H191" s="2">
        <v>146.21</v>
      </c>
    </row>
    <row r="192" spans="2:8" x14ac:dyDescent="0.25">
      <c r="B192" s="3">
        <v>45901</v>
      </c>
      <c r="C192" s="2">
        <v>148.12</v>
      </c>
      <c r="D192" s="2">
        <v>136.07</v>
      </c>
      <c r="E192" s="2">
        <v>133.19999999999999</v>
      </c>
      <c r="F192" s="2">
        <v>142.49</v>
      </c>
      <c r="G192" s="2">
        <v>149.44999999999999</v>
      </c>
      <c r="H192" s="2">
        <v>146.56</v>
      </c>
    </row>
    <row r="193" spans="2:8" x14ac:dyDescent="0.25">
      <c r="B193" s="3">
        <v>45931</v>
      </c>
      <c r="C193" s="2">
        <v>148.43</v>
      </c>
      <c r="D193" s="2">
        <v>136.27000000000001</v>
      </c>
      <c r="E193" s="2">
        <v>133.58000000000001</v>
      </c>
      <c r="F193" s="2">
        <v>142.77000000000001</v>
      </c>
      <c r="G193" s="2">
        <v>149.74</v>
      </c>
      <c r="H193" s="2">
        <v>146.84</v>
      </c>
    </row>
    <row r="194" spans="2:8" x14ac:dyDescent="0.25">
      <c r="B194" s="3">
        <v>45962</v>
      </c>
      <c r="C194" s="2">
        <v>148.56</v>
      </c>
      <c r="D194" s="2">
        <v>136.57</v>
      </c>
      <c r="E194" s="2">
        <v>134.18</v>
      </c>
      <c r="F194" s="2">
        <v>143.01</v>
      </c>
      <c r="G194" s="2">
        <v>149.97999999999999</v>
      </c>
      <c r="H194" s="2">
        <v>147.08000000000001</v>
      </c>
    </row>
    <row r="195" spans="2:8" x14ac:dyDescent="0.25">
      <c r="B195" s="3">
        <v>45992</v>
      </c>
      <c r="C195" s="2">
        <v>149.85</v>
      </c>
      <c r="D195" s="2">
        <v>137.65</v>
      </c>
      <c r="E195" s="2">
        <v>135.56</v>
      </c>
      <c r="F195" s="2">
        <v>144.25</v>
      </c>
      <c r="G195" s="2">
        <v>150.69999999999999</v>
      </c>
      <c r="H195" s="2">
        <v>148.02000000000001</v>
      </c>
    </row>
    <row r="196" spans="2:8" x14ac:dyDescent="0.25">
      <c r="C196" s="2"/>
      <c r="D196" s="2"/>
      <c r="E196" s="2"/>
      <c r="F196" s="2"/>
      <c r="G196" s="2"/>
      <c r="H196" s="2"/>
    </row>
    <row r="197" spans="2:8" x14ac:dyDescent="0.25">
      <c r="C197" s="2"/>
      <c r="D197" s="2"/>
      <c r="E197" s="2"/>
      <c r="F197" s="2"/>
      <c r="G197" s="2"/>
      <c r="H197" s="2"/>
    </row>
    <row r="198" spans="2:8" x14ac:dyDescent="0.25">
      <c r="C198" s="2"/>
      <c r="D198" s="2"/>
      <c r="E198" s="2"/>
      <c r="F198" s="2"/>
      <c r="G198" s="2"/>
      <c r="H198" s="2"/>
    </row>
    <row r="199" spans="2:8" x14ac:dyDescent="0.25">
      <c r="C199" s="2"/>
      <c r="D199" s="2"/>
      <c r="E199" s="2"/>
      <c r="F199" s="2"/>
      <c r="G199" s="2"/>
      <c r="H199" s="2"/>
    </row>
    <row r="200" spans="2:8" x14ac:dyDescent="0.25">
      <c r="C200" s="2"/>
      <c r="D200" s="2"/>
      <c r="E200" s="2"/>
      <c r="F200" s="2"/>
      <c r="G200" s="2"/>
      <c r="H200" s="2"/>
    </row>
    <row r="201" spans="2:8" x14ac:dyDescent="0.25">
      <c r="C201" s="2"/>
      <c r="D201" s="2"/>
      <c r="E201" s="2"/>
      <c r="F201" s="2"/>
      <c r="G201" s="2"/>
      <c r="H201" s="2"/>
    </row>
    <row r="202" spans="2:8" x14ac:dyDescent="0.25">
      <c r="C202" s="2"/>
      <c r="D202" s="2"/>
      <c r="E202" s="2"/>
      <c r="F202" s="2"/>
      <c r="G202" s="2"/>
      <c r="H202" s="2"/>
    </row>
    <row r="203" spans="2:8" x14ac:dyDescent="0.25">
      <c r="C203" s="2"/>
      <c r="D203" s="2"/>
      <c r="E203" s="2"/>
      <c r="F203" s="2"/>
      <c r="G203" s="2"/>
      <c r="H203" s="2"/>
    </row>
    <row r="204" spans="2:8" x14ac:dyDescent="0.25">
      <c r="C204" s="2"/>
      <c r="D204" s="2"/>
      <c r="E204" s="2"/>
      <c r="F204" s="2"/>
      <c r="G204" s="2"/>
      <c r="H204" s="2"/>
    </row>
    <row r="205" spans="2:8" x14ac:dyDescent="0.25">
      <c r="C205" s="2"/>
      <c r="D205" s="2"/>
      <c r="E205" s="2"/>
      <c r="F205" s="2"/>
      <c r="G205" s="2"/>
      <c r="H205" s="2"/>
    </row>
    <row r="206" spans="2:8" x14ac:dyDescent="0.25">
      <c r="C206" s="2"/>
      <c r="D206" s="2"/>
      <c r="E206" s="2"/>
      <c r="F206" s="2"/>
      <c r="G206" s="2"/>
      <c r="H206" s="2"/>
    </row>
    <row r="207" spans="2:8" x14ac:dyDescent="0.25">
      <c r="C207" s="2"/>
      <c r="D207" s="2"/>
      <c r="E207" s="2"/>
      <c r="F207" s="2"/>
      <c r="G207" s="2"/>
      <c r="H207" s="2"/>
    </row>
    <row r="208" spans="2:8" x14ac:dyDescent="0.25">
      <c r="C208" s="2"/>
      <c r="D208" s="2"/>
      <c r="E208" s="2"/>
      <c r="F208" s="2"/>
      <c r="G208" s="2"/>
      <c r="H208" s="2"/>
    </row>
    <row r="209" spans="3:8" x14ac:dyDescent="0.25">
      <c r="C209" s="2"/>
      <c r="D209" s="2"/>
      <c r="E209" s="2"/>
      <c r="F209" s="2"/>
      <c r="G209" s="2"/>
      <c r="H209" s="2"/>
    </row>
    <row r="210" spans="3:8" x14ac:dyDescent="0.25">
      <c r="C210" s="2"/>
      <c r="D210" s="2"/>
      <c r="E210" s="2"/>
      <c r="F210" s="2"/>
      <c r="G210" s="2"/>
      <c r="H2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59C5-8503-4518-82E3-5350EEA7AA7E}">
  <dimension ref="B3:J183"/>
  <sheetViews>
    <sheetView topLeftCell="A169" workbookViewId="0">
      <selection activeCell="C187" sqref="C187"/>
    </sheetView>
  </sheetViews>
  <sheetFormatPr defaultRowHeight="11.5" x14ac:dyDescent="0.35"/>
  <cols>
    <col min="1" max="1" width="8.7265625" style="24"/>
    <col min="2" max="2" width="15" style="24" bestFit="1" customWidth="1"/>
    <col min="3" max="3" width="13.81640625" style="24" bestFit="1" customWidth="1"/>
    <col min="4" max="4" width="13.90625" style="24" bestFit="1" customWidth="1"/>
    <col min="5" max="5" width="13.453125" style="24" bestFit="1" customWidth="1"/>
    <col min="6" max="6" width="16.54296875" style="24" bestFit="1" customWidth="1"/>
    <col min="7" max="7" width="17.453125" style="24" bestFit="1" customWidth="1"/>
    <col min="8" max="8" width="9.36328125" style="24" bestFit="1" customWidth="1"/>
    <col min="9" max="16384" width="8.7265625" style="24"/>
  </cols>
  <sheetData>
    <row r="3" spans="2:8" ht="11.5" customHeight="1" x14ac:dyDescent="0.35">
      <c r="B3" s="26" t="s">
        <v>105</v>
      </c>
      <c r="C3" s="26" t="s">
        <v>73</v>
      </c>
      <c r="D3" s="26" t="s">
        <v>74</v>
      </c>
      <c r="E3" s="26" t="s">
        <v>75</v>
      </c>
      <c r="F3" s="26" t="s">
        <v>76</v>
      </c>
      <c r="G3" s="26" t="s">
        <v>77</v>
      </c>
      <c r="H3" s="26" t="s">
        <v>78</v>
      </c>
    </row>
    <row r="4" spans="2:8" x14ac:dyDescent="0.35">
      <c r="B4" s="42">
        <v>40544</v>
      </c>
      <c r="C4" s="49">
        <v>5.67</v>
      </c>
      <c r="D4" s="24">
        <v>3.6</v>
      </c>
      <c r="E4" s="24">
        <v>5.1100000000000003</v>
      </c>
      <c r="F4" s="24">
        <v>5.27</v>
      </c>
      <c r="G4" s="24">
        <v>5.6</v>
      </c>
      <c r="H4" s="43">
        <v>5.42</v>
      </c>
    </row>
    <row r="5" spans="2:8" x14ac:dyDescent="0.35">
      <c r="B5" s="42">
        <v>40575</v>
      </c>
      <c r="C5" s="49">
        <v>7.46</v>
      </c>
      <c r="D5" s="24">
        <v>4.1900000000000004</v>
      </c>
      <c r="E5" s="24">
        <v>5.43</v>
      </c>
      <c r="F5" s="24">
        <v>6.93</v>
      </c>
      <c r="G5" s="24">
        <v>6.49</v>
      </c>
      <c r="H5" s="43">
        <v>6.53</v>
      </c>
    </row>
    <row r="6" spans="2:8" x14ac:dyDescent="0.35">
      <c r="B6" s="42">
        <v>40603</v>
      </c>
      <c r="C6" s="49">
        <v>11.04</v>
      </c>
      <c r="D6" s="24">
        <v>5.35</v>
      </c>
      <c r="E6" s="24">
        <v>5.38</v>
      </c>
      <c r="F6" s="24">
        <v>9.91</v>
      </c>
      <c r="G6" s="24">
        <v>8.99</v>
      </c>
      <c r="H6" s="43">
        <v>9.19</v>
      </c>
    </row>
    <row r="7" spans="2:8" x14ac:dyDescent="0.35">
      <c r="B7" s="42">
        <v>40634</v>
      </c>
      <c r="C7" s="49">
        <v>14.04</v>
      </c>
      <c r="D7" s="24">
        <v>7.55</v>
      </c>
      <c r="E7" s="24">
        <v>6.39</v>
      </c>
      <c r="F7" s="24">
        <v>12.39</v>
      </c>
      <c r="G7" s="24">
        <v>11.92</v>
      </c>
      <c r="H7" s="43">
        <v>12.05</v>
      </c>
    </row>
    <row r="8" spans="2:8" x14ac:dyDescent="0.35">
      <c r="B8" s="42">
        <v>40664</v>
      </c>
      <c r="C8" s="49">
        <v>13.97</v>
      </c>
      <c r="D8" s="24">
        <v>8.74</v>
      </c>
      <c r="E8" s="24">
        <v>6.18</v>
      </c>
      <c r="F8" s="24">
        <v>12.88</v>
      </c>
      <c r="G8" s="24">
        <v>13.31</v>
      </c>
      <c r="H8" s="43">
        <v>12.95</v>
      </c>
    </row>
    <row r="9" spans="2:8" x14ac:dyDescent="0.35">
      <c r="B9" s="42">
        <v>40695</v>
      </c>
      <c r="C9" s="49">
        <v>15.96</v>
      </c>
      <c r="D9" s="24">
        <v>9.57</v>
      </c>
      <c r="E9" s="24">
        <v>10.14</v>
      </c>
      <c r="F9" s="24">
        <v>14.65</v>
      </c>
      <c r="G9" s="24">
        <v>14.66</v>
      </c>
      <c r="H9" s="43">
        <v>14.49</v>
      </c>
    </row>
    <row r="10" spans="2:8" x14ac:dyDescent="0.35">
      <c r="B10" s="42">
        <v>40725</v>
      </c>
      <c r="C10" s="49">
        <v>16</v>
      </c>
      <c r="D10" s="24">
        <v>10.15</v>
      </c>
      <c r="E10" s="24">
        <v>11.67</v>
      </c>
      <c r="F10" s="24">
        <v>15.58</v>
      </c>
      <c r="G10" s="24">
        <v>16.29</v>
      </c>
      <c r="H10" s="43">
        <v>15.53</v>
      </c>
    </row>
    <row r="11" spans="2:8" x14ac:dyDescent="0.35">
      <c r="B11" s="42">
        <v>40756</v>
      </c>
      <c r="C11" s="49">
        <v>17.170000000000002</v>
      </c>
      <c r="D11" s="24">
        <v>11.28</v>
      </c>
      <c r="E11" s="24">
        <v>12.92</v>
      </c>
      <c r="F11" s="24">
        <v>16.89</v>
      </c>
      <c r="G11" s="24">
        <v>17.37</v>
      </c>
      <c r="H11" s="43">
        <v>16.649999999999999</v>
      </c>
    </row>
    <row r="12" spans="2:8" x14ac:dyDescent="0.35">
      <c r="B12" s="42">
        <v>40787</v>
      </c>
      <c r="C12" s="49">
        <v>17.97</v>
      </c>
      <c r="D12" s="24">
        <v>12.42</v>
      </c>
      <c r="E12" s="24">
        <v>13.15</v>
      </c>
      <c r="F12" s="24">
        <v>17.88</v>
      </c>
      <c r="G12" s="24">
        <v>17.91</v>
      </c>
      <c r="H12" s="43">
        <v>17.32</v>
      </c>
    </row>
    <row r="13" spans="2:8" x14ac:dyDescent="0.35">
      <c r="B13" s="42">
        <v>40817</v>
      </c>
      <c r="C13" s="49">
        <v>19.579999999999998</v>
      </c>
      <c r="D13" s="24">
        <v>14.33</v>
      </c>
      <c r="E13" s="24">
        <v>14.48</v>
      </c>
      <c r="F13" s="24">
        <v>18.77</v>
      </c>
      <c r="G13" s="24">
        <v>19.45</v>
      </c>
      <c r="H13" s="43">
        <v>18.91</v>
      </c>
    </row>
    <row r="14" spans="2:8" x14ac:dyDescent="0.35">
      <c r="B14" s="42">
        <v>40848</v>
      </c>
      <c r="C14" s="49">
        <v>20.62</v>
      </c>
      <c r="D14" s="24">
        <v>15.57</v>
      </c>
      <c r="E14" s="24">
        <v>13.99</v>
      </c>
      <c r="F14" s="24">
        <v>19.09</v>
      </c>
      <c r="G14" s="24">
        <v>20.09</v>
      </c>
      <c r="H14" s="43">
        <v>19.72</v>
      </c>
    </row>
    <row r="15" spans="2:8" x14ac:dyDescent="0.35">
      <c r="B15" s="42">
        <v>40878</v>
      </c>
      <c r="C15" s="49">
        <v>20.63</v>
      </c>
      <c r="D15" s="24">
        <v>15.75</v>
      </c>
      <c r="E15" s="24">
        <v>13.69</v>
      </c>
      <c r="F15" s="24">
        <v>18.600000000000001</v>
      </c>
      <c r="G15" s="24">
        <v>18.73</v>
      </c>
      <c r="H15" s="43">
        <v>18.93</v>
      </c>
    </row>
    <row r="16" spans="2:8" x14ac:dyDescent="0.35">
      <c r="B16" s="42">
        <v>40909</v>
      </c>
      <c r="C16" s="49">
        <v>20.27</v>
      </c>
      <c r="D16" s="9">
        <v>14.07</v>
      </c>
      <c r="E16" s="9">
        <v>11.56</v>
      </c>
      <c r="F16" s="9">
        <v>18.489999999999998</v>
      </c>
      <c r="G16" s="9">
        <v>18.18</v>
      </c>
      <c r="H16" s="35">
        <v>18.309999999999999</v>
      </c>
    </row>
    <row r="17" spans="2:8" x14ac:dyDescent="0.35">
      <c r="B17" s="42">
        <v>40940</v>
      </c>
      <c r="C17" s="49">
        <v>17.8</v>
      </c>
      <c r="D17" s="9">
        <v>13.15</v>
      </c>
      <c r="E17" s="9">
        <v>11.09</v>
      </c>
      <c r="F17" s="9">
        <v>16.48</v>
      </c>
      <c r="G17" s="9">
        <v>16.84</v>
      </c>
      <c r="H17" s="35">
        <v>16.690000000000001</v>
      </c>
    </row>
    <row r="18" spans="2:8" x14ac:dyDescent="0.35">
      <c r="B18" s="42">
        <v>40969</v>
      </c>
      <c r="C18" s="49">
        <v>16.5</v>
      </c>
      <c r="D18" s="9">
        <v>12.56</v>
      </c>
      <c r="E18" s="9">
        <v>10.87</v>
      </c>
      <c r="F18" s="9">
        <v>15.39</v>
      </c>
      <c r="G18" s="9">
        <v>15.77</v>
      </c>
      <c r="H18" s="35">
        <v>15.61</v>
      </c>
    </row>
    <row r="19" spans="2:8" x14ac:dyDescent="0.35">
      <c r="B19" s="42">
        <v>41000</v>
      </c>
      <c r="C19" s="49">
        <v>13.43</v>
      </c>
      <c r="D19" s="9">
        <v>10.92</v>
      </c>
      <c r="E19" s="9">
        <v>10.41</v>
      </c>
      <c r="F19" s="9">
        <v>12.81</v>
      </c>
      <c r="G19" s="9">
        <v>13.3</v>
      </c>
      <c r="H19" s="35">
        <v>13.06</v>
      </c>
    </row>
    <row r="20" spans="2:8" x14ac:dyDescent="0.35">
      <c r="B20" s="42">
        <v>41030</v>
      </c>
      <c r="C20" s="49">
        <v>13.33</v>
      </c>
      <c r="D20" s="9">
        <v>10</v>
      </c>
      <c r="E20" s="9">
        <v>9.6999999999999993</v>
      </c>
      <c r="F20" s="9">
        <v>12.44</v>
      </c>
      <c r="G20" s="9">
        <v>12.07</v>
      </c>
      <c r="H20" s="35">
        <v>12.22</v>
      </c>
    </row>
    <row r="21" spans="2:8" x14ac:dyDescent="0.35">
      <c r="B21" s="42">
        <v>41061</v>
      </c>
      <c r="C21" s="49">
        <v>10.11</v>
      </c>
      <c r="D21" s="9">
        <v>9.17</v>
      </c>
      <c r="E21" s="9">
        <v>5.54</v>
      </c>
      <c r="F21" s="9">
        <v>9.73</v>
      </c>
      <c r="G21" s="9">
        <v>10.27</v>
      </c>
      <c r="H21" s="35">
        <v>10.050000000000001</v>
      </c>
    </row>
    <row r="22" spans="2:8" x14ac:dyDescent="0.35">
      <c r="B22" s="42">
        <v>41091</v>
      </c>
      <c r="C22" s="49">
        <v>7.69</v>
      </c>
      <c r="D22" s="9">
        <v>7.15</v>
      </c>
      <c r="E22" s="9">
        <v>3.39</v>
      </c>
      <c r="F22" s="9">
        <v>7.41</v>
      </c>
      <c r="G22" s="9">
        <v>7.97</v>
      </c>
      <c r="H22" s="35">
        <v>7.74</v>
      </c>
    </row>
    <row r="23" spans="2:8" x14ac:dyDescent="0.35">
      <c r="B23" s="42">
        <v>41122</v>
      </c>
      <c r="C23" s="49">
        <v>5.14</v>
      </c>
      <c r="D23" s="9">
        <v>6.06</v>
      </c>
      <c r="E23" s="9">
        <v>3.18</v>
      </c>
      <c r="F23" s="9">
        <v>5.28</v>
      </c>
      <c r="G23" s="9">
        <v>6.68</v>
      </c>
      <c r="H23" s="35">
        <v>6.09</v>
      </c>
    </row>
    <row r="24" spans="2:8" x14ac:dyDescent="0.35">
      <c r="B24" s="42">
        <v>41153</v>
      </c>
      <c r="C24" s="49">
        <v>4.16</v>
      </c>
      <c r="D24" s="9">
        <v>5</v>
      </c>
      <c r="E24" s="9">
        <v>2.5</v>
      </c>
      <c r="F24" s="9">
        <v>4.29</v>
      </c>
      <c r="G24" s="9">
        <v>6.04</v>
      </c>
      <c r="H24" s="35">
        <v>5.32</v>
      </c>
    </row>
    <row r="25" spans="2:8" x14ac:dyDescent="0.35">
      <c r="B25" s="42">
        <v>41183</v>
      </c>
      <c r="C25" s="49">
        <v>3.5</v>
      </c>
      <c r="D25" s="9">
        <v>3.58</v>
      </c>
      <c r="E25" s="9">
        <v>1.79</v>
      </c>
      <c r="F25" s="9">
        <v>3.45</v>
      </c>
      <c r="G25" s="9">
        <v>4.6100000000000003</v>
      </c>
      <c r="H25" s="35">
        <v>4.1399999999999997</v>
      </c>
    </row>
    <row r="26" spans="2:8" x14ac:dyDescent="0.35">
      <c r="B26" s="42">
        <v>41214</v>
      </c>
      <c r="C26" s="49">
        <v>2.98</v>
      </c>
      <c r="D26" s="9">
        <v>1.99</v>
      </c>
      <c r="E26" s="9">
        <v>0.79</v>
      </c>
      <c r="F26" s="9">
        <v>2.68</v>
      </c>
      <c r="G26" s="9">
        <v>3.65</v>
      </c>
      <c r="H26" s="35">
        <v>3.25</v>
      </c>
    </row>
    <row r="27" spans="2:8" x14ac:dyDescent="0.35">
      <c r="B27" s="42">
        <v>41244</v>
      </c>
      <c r="C27" s="49">
        <v>2.56</v>
      </c>
      <c r="D27" s="9">
        <v>1.46</v>
      </c>
      <c r="E27" s="9">
        <v>1.1499999999999999</v>
      </c>
      <c r="F27" s="9">
        <v>2.2599999999999998</v>
      </c>
      <c r="G27" s="9">
        <v>3.86</v>
      </c>
      <c r="H27" s="35">
        <v>3.2</v>
      </c>
    </row>
    <row r="28" spans="2:8" x14ac:dyDescent="0.35">
      <c r="B28" s="42">
        <v>41275</v>
      </c>
      <c r="C28" s="49">
        <v>3.23</v>
      </c>
      <c r="D28" s="24">
        <v>2.86</v>
      </c>
      <c r="E28" s="24">
        <v>2.37</v>
      </c>
      <c r="F28" s="24">
        <v>3.12</v>
      </c>
      <c r="G28" s="24">
        <v>4.0599999999999996</v>
      </c>
      <c r="H28" s="43">
        <v>3.67</v>
      </c>
    </row>
    <row r="29" spans="2:8" x14ac:dyDescent="0.35">
      <c r="B29" s="42">
        <v>41306</v>
      </c>
      <c r="C29" s="49">
        <v>3.97</v>
      </c>
      <c r="D29" s="24">
        <v>3.64</v>
      </c>
      <c r="E29" s="24">
        <v>2.65</v>
      </c>
      <c r="F29" s="24">
        <v>3.85</v>
      </c>
      <c r="G29" s="24">
        <v>4.88</v>
      </c>
      <c r="H29" s="43">
        <v>4.45</v>
      </c>
    </row>
    <row r="30" spans="2:8" x14ac:dyDescent="0.35">
      <c r="B30" s="42">
        <v>41334</v>
      </c>
      <c r="C30" s="49">
        <v>3.16</v>
      </c>
      <c r="D30" s="24">
        <v>3.56</v>
      </c>
      <c r="E30" s="24">
        <v>2.94</v>
      </c>
      <c r="F30" s="24">
        <v>3.24</v>
      </c>
      <c r="G30" s="24">
        <v>4.72</v>
      </c>
      <c r="H30" s="43">
        <v>4.1100000000000003</v>
      </c>
    </row>
    <row r="31" spans="2:8" x14ac:dyDescent="0.35">
      <c r="B31" s="42">
        <v>41365</v>
      </c>
      <c r="C31" s="49">
        <v>3.85</v>
      </c>
      <c r="D31" s="24">
        <v>3.31</v>
      </c>
      <c r="E31" s="24">
        <v>2.39</v>
      </c>
      <c r="F31" s="24">
        <v>3.67</v>
      </c>
      <c r="G31" s="24">
        <v>4.47</v>
      </c>
      <c r="H31" s="43">
        <v>4.1399999999999997</v>
      </c>
    </row>
    <row r="32" spans="2:8" x14ac:dyDescent="0.35">
      <c r="B32" s="42">
        <v>41395</v>
      </c>
      <c r="C32" s="49">
        <v>3.51</v>
      </c>
      <c r="D32" s="24">
        <v>2.77</v>
      </c>
      <c r="E32" s="24">
        <v>1.82</v>
      </c>
      <c r="F32" s="24">
        <v>3.28</v>
      </c>
      <c r="G32" s="24">
        <v>4.59</v>
      </c>
      <c r="H32" s="43">
        <v>4.05</v>
      </c>
    </row>
    <row r="33" spans="2:8" x14ac:dyDescent="0.35">
      <c r="B33" s="42">
        <v>41426</v>
      </c>
      <c r="C33" s="49">
        <v>4.75</v>
      </c>
      <c r="D33" s="24">
        <v>2.83</v>
      </c>
      <c r="E33" s="24">
        <v>1.68</v>
      </c>
      <c r="F33" s="24">
        <v>4.21</v>
      </c>
      <c r="G33" s="24">
        <v>5.4</v>
      </c>
      <c r="H33" s="43">
        <v>4.91</v>
      </c>
    </row>
    <row r="34" spans="2:8" x14ac:dyDescent="0.35">
      <c r="B34" s="42">
        <v>41456</v>
      </c>
      <c r="C34" s="49">
        <v>6.33</v>
      </c>
      <c r="D34" s="24">
        <v>4.59</v>
      </c>
      <c r="E34" s="24">
        <v>2.2799999999999998</v>
      </c>
      <c r="F34" s="24">
        <v>5.79</v>
      </c>
      <c r="G34" s="24">
        <v>6.18</v>
      </c>
      <c r="H34" s="43">
        <v>6.02</v>
      </c>
    </row>
    <row r="35" spans="2:8" x14ac:dyDescent="0.35">
      <c r="B35" s="42">
        <v>41487</v>
      </c>
      <c r="C35" s="49">
        <v>7.23</v>
      </c>
      <c r="D35" s="24">
        <v>4.57</v>
      </c>
      <c r="E35" s="24">
        <v>2.38</v>
      </c>
      <c r="F35" s="24">
        <v>6.46</v>
      </c>
      <c r="G35" s="24">
        <v>6.83</v>
      </c>
      <c r="H35" s="43">
        <v>6.67</v>
      </c>
    </row>
    <row r="36" spans="2:8" x14ac:dyDescent="0.35">
      <c r="B36" s="42">
        <v>41518</v>
      </c>
      <c r="C36" s="49">
        <v>9.67</v>
      </c>
      <c r="D36" s="24">
        <v>7.11</v>
      </c>
      <c r="E36" s="24">
        <v>6.16</v>
      </c>
      <c r="F36" s="24">
        <v>8.9700000000000006</v>
      </c>
      <c r="G36" s="24">
        <v>7.82</v>
      </c>
      <c r="H36" s="43">
        <v>8.2899999999999991</v>
      </c>
    </row>
    <row r="37" spans="2:8" x14ac:dyDescent="0.35">
      <c r="B37" s="42">
        <v>41548</v>
      </c>
      <c r="C37" s="49">
        <v>8.99</v>
      </c>
      <c r="D37" s="24">
        <v>6.32</v>
      </c>
      <c r="E37" s="24">
        <v>5.37</v>
      </c>
      <c r="F37" s="24">
        <v>8.25</v>
      </c>
      <c r="G37" s="24">
        <v>7.43</v>
      </c>
      <c r="H37" s="43">
        <v>7.76</v>
      </c>
    </row>
    <row r="38" spans="2:8" x14ac:dyDescent="0.35">
      <c r="B38" s="42">
        <v>41579</v>
      </c>
      <c r="C38" s="49">
        <v>8.25</v>
      </c>
      <c r="D38" s="24">
        <v>5.92</v>
      </c>
      <c r="E38" s="24">
        <v>5.5</v>
      </c>
      <c r="F38" s="24">
        <v>7.63</v>
      </c>
      <c r="G38" s="24">
        <v>7.17</v>
      </c>
      <c r="H38" s="43">
        <v>7.36</v>
      </c>
    </row>
    <row r="39" spans="2:8" x14ac:dyDescent="0.35">
      <c r="B39" s="42">
        <v>41609</v>
      </c>
      <c r="C39" s="49">
        <v>7.65</v>
      </c>
      <c r="D39" s="24">
        <v>5.97</v>
      </c>
      <c r="E39" s="24">
        <v>5.62</v>
      </c>
      <c r="F39" s="24">
        <v>7.2</v>
      </c>
      <c r="G39" s="24">
        <v>7.11</v>
      </c>
      <c r="H39" s="43">
        <v>7.15</v>
      </c>
    </row>
    <row r="40" spans="2:8" x14ac:dyDescent="0.35">
      <c r="B40" s="42">
        <v>41640</v>
      </c>
      <c r="C40" s="49">
        <v>7.16</v>
      </c>
      <c r="D40" s="9">
        <v>5.44</v>
      </c>
      <c r="E40" s="9">
        <v>5.89</v>
      </c>
      <c r="F40" s="9">
        <v>6.73</v>
      </c>
      <c r="G40" s="9">
        <v>7.54</v>
      </c>
      <c r="H40" s="35">
        <v>7.21</v>
      </c>
    </row>
    <row r="41" spans="2:8" x14ac:dyDescent="0.35">
      <c r="B41" s="42">
        <v>41671</v>
      </c>
      <c r="C41" s="49">
        <v>6.86</v>
      </c>
      <c r="D41" s="9">
        <v>4.93</v>
      </c>
      <c r="E41" s="9">
        <v>5.84</v>
      </c>
      <c r="F41" s="9">
        <v>6.1</v>
      </c>
      <c r="G41" s="9">
        <v>7.38</v>
      </c>
      <c r="H41" s="35">
        <v>6.86</v>
      </c>
    </row>
    <row r="42" spans="2:8" x14ac:dyDescent="0.35">
      <c r="B42" s="42">
        <v>41699</v>
      </c>
      <c r="C42" s="49">
        <v>5.8</v>
      </c>
      <c r="D42" s="9">
        <v>4.6500000000000004</v>
      </c>
      <c r="E42" s="9">
        <v>5.38</v>
      </c>
      <c r="F42" s="9">
        <v>5.53</v>
      </c>
      <c r="G42" s="9">
        <v>6.78</v>
      </c>
      <c r="H42" s="35">
        <v>6.27</v>
      </c>
    </row>
    <row r="43" spans="2:8" x14ac:dyDescent="0.35">
      <c r="B43" s="42">
        <v>41730</v>
      </c>
      <c r="C43" s="49">
        <v>5.36</v>
      </c>
      <c r="D43" s="9">
        <v>4.43</v>
      </c>
      <c r="E43" s="9">
        <v>5.64</v>
      </c>
      <c r="F43" s="9">
        <v>5.16</v>
      </c>
      <c r="G43" s="9">
        <v>7.27</v>
      </c>
      <c r="H43" s="35">
        <v>6.41</v>
      </c>
    </row>
    <row r="44" spans="2:8" x14ac:dyDescent="0.35">
      <c r="B44" s="42">
        <v>41760</v>
      </c>
      <c r="C44" s="49">
        <v>6.07</v>
      </c>
      <c r="D44" s="9">
        <v>5.37</v>
      </c>
      <c r="E44" s="9">
        <v>7.18</v>
      </c>
      <c r="F44" s="9">
        <v>5.95</v>
      </c>
      <c r="G44" s="9">
        <v>8.23</v>
      </c>
      <c r="H44" s="35">
        <v>7.3</v>
      </c>
    </row>
    <row r="45" spans="2:8" x14ac:dyDescent="0.35">
      <c r="B45" s="42">
        <v>41791</v>
      </c>
      <c r="C45" s="49">
        <v>6.1</v>
      </c>
      <c r="D45" s="9">
        <v>6.06</v>
      </c>
      <c r="E45" s="9">
        <v>7.81</v>
      </c>
      <c r="F45" s="9">
        <v>6.15</v>
      </c>
      <c r="G45" s="9">
        <v>8.25</v>
      </c>
      <c r="H45" s="35">
        <v>7.39</v>
      </c>
    </row>
    <row r="46" spans="2:8" x14ac:dyDescent="0.35">
      <c r="B46" s="42">
        <v>41821</v>
      </c>
      <c r="C46" s="49">
        <v>6.13</v>
      </c>
      <c r="D46" s="9">
        <v>6.19</v>
      </c>
      <c r="E46" s="9">
        <v>8.0399999999999991</v>
      </c>
      <c r="F46" s="9">
        <v>6.21</v>
      </c>
      <c r="G46" s="9">
        <v>8.68</v>
      </c>
      <c r="H46" s="35">
        <v>7.67</v>
      </c>
    </row>
    <row r="47" spans="2:8" x14ac:dyDescent="0.35">
      <c r="B47" s="42">
        <v>41852</v>
      </c>
      <c r="C47" s="49">
        <v>7.49</v>
      </c>
      <c r="D47" s="9">
        <v>6.39</v>
      </c>
      <c r="E47" s="9">
        <v>9.58</v>
      </c>
      <c r="F47" s="9">
        <v>7.32</v>
      </c>
      <c r="G47" s="9">
        <v>9.07</v>
      </c>
      <c r="H47" s="35">
        <v>8.36</v>
      </c>
    </row>
    <row r="48" spans="2:8" x14ac:dyDescent="0.35">
      <c r="B48" s="42">
        <v>41883</v>
      </c>
      <c r="C48" s="49">
        <v>4.84</v>
      </c>
      <c r="D48" s="9">
        <v>3.34</v>
      </c>
      <c r="E48" s="9">
        <v>5.19</v>
      </c>
      <c r="F48" s="9">
        <v>4.5199999999999996</v>
      </c>
      <c r="G48" s="9">
        <v>8.0399999999999991</v>
      </c>
      <c r="H48" s="35">
        <v>6.6</v>
      </c>
    </row>
    <row r="49" spans="2:10" x14ac:dyDescent="0.35">
      <c r="B49" s="42">
        <v>41913</v>
      </c>
      <c r="C49" s="49">
        <v>4.79</v>
      </c>
      <c r="D49" s="9">
        <v>3.38</v>
      </c>
      <c r="E49" s="9">
        <v>4.33</v>
      </c>
      <c r="F49" s="9">
        <v>4.46</v>
      </c>
      <c r="G49" s="9">
        <v>7.79</v>
      </c>
      <c r="H49" s="35">
        <v>6.43</v>
      </c>
    </row>
    <row r="50" spans="2:10" x14ac:dyDescent="0.35">
      <c r="B50" s="42">
        <v>41944</v>
      </c>
      <c r="C50" s="49">
        <v>4.5</v>
      </c>
      <c r="D50" s="9">
        <v>3.3</v>
      </c>
      <c r="E50" s="9">
        <v>4.25</v>
      </c>
      <c r="F50" s="9">
        <v>4.22</v>
      </c>
      <c r="G50" s="9" t="s">
        <v>104</v>
      </c>
      <c r="H50" s="35">
        <v>6.09</v>
      </c>
    </row>
    <row r="51" spans="2:10" x14ac:dyDescent="0.35">
      <c r="B51" s="42">
        <v>41974</v>
      </c>
      <c r="C51" s="49">
        <v>4.87</v>
      </c>
      <c r="D51" s="24">
        <v>3.61</v>
      </c>
      <c r="E51" s="24">
        <v>3.19</v>
      </c>
      <c r="F51" s="24">
        <v>4.53</v>
      </c>
      <c r="G51" s="24">
        <v>7.05</v>
      </c>
      <c r="H51" s="43">
        <v>6.02</v>
      </c>
      <c r="I51" s="44"/>
      <c r="J51" s="44"/>
    </row>
    <row r="52" spans="2:10" x14ac:dyDescent="0.35">
      <c r="B52" s="42">
        <v>42005</v>
      </c>
      <c r="C52" s="49">
        <v>4.83</v>
      </c>
      <c r="D52" s="9">
        <v>3.22</v>
      </c>
      <c r="E52" s="9">
        <v>2.0499999999999998</v>
      </c>
      <c r="F52" s="24">
        <v>4.38</v>
      </c>
      <c r="G52" s="24">
        <v>6.32</v>
      </c>
      <c r="H52" s="43">
        <v>5.53</v>
      </c>
    </row>
    <row r="53" spans="2:10" x14ac:dyDescent="0.35">
      <c r="B53" s="42">
        <v>42036</v>
      </c>
      <c r="C53" s="49">
        <v>5.22</v>
      </c>
      <c r="D53" s="9">
        <v>3.23</v>
      </c>
      <c r="E53" s="9">
        <v>1.74</v>
      </c>
      <c r="F53" s="24">
        <v>4.66</v>
      </c>
      <c r="G53" s="24">
        <v>6.26</v>
      </c>
      <c r="H53" s="43">
        <v>5.61</v>
      </c>
    </row>
    <row r="54" spans="2:10" x14ac:dyDescent="0.35">
      <c r="B54" s="42">
        <v>42064</v>
      </c>
      <c r="C54" s="49">
        <v>6.32</v>
      </c>
      <c r="D54" s="9">
        <v>3.24</v>
      </c>
      <c r="E54" s="9">
        <v>1.81</v>
      </c>
      <c r="F54" s="24">
        <v>5.48</v>
      </c>
      <c r="G54" s="24">
        <v>6.88</v>
      </c>
      <c r="H54" s="43">
        <v>6.31</v>
      </c>
    </row>
    <row r="55" spans="2:10" x14ac:dyDescent="0.35">
      <c r="B55" s="42">
        <v>42095</v>
      </c>
      <c r="C55" s="49">
        <v>7.49</v>
      </c>
      <c r="D55" s="9">
        <v>3.39</v>
      </c>
      <c r="E55" s="9">
        <v>1.9</v>
      </c>
      <c r="F55" s="24">
        <v>6.39</v>
      </c>
      <c r="G55" s="24">
        <v>7.55</v>
      </c>
      <c r="H55" s="43">
        <v>7.08</v>
      </c>
    </row>
    <row r="56" spans="2:10" x14ac:dyDescent="0.35">
      <c r="B56" s="42">
        <v>42125</v>
      </c>
      <c r="C56" s="49">
        <v>6.98</v>
      </c>
      <c r="D56" s="9">
        <v>3.76</v>
      </c>
      <c r="E56" s="9">
        <v>1.86</v>
      </c>
      <c r="F56" s="24">
        <v>6.09</v>
      </c>
      <c r="G56" s="24">
        <v>7.39</v>
      </c>
      <c r="H56" s="43">
        <v>6.87</v>
      </c>
    </row>
    <row r="57" spans="2:10" x14ac:dyDescent="0.35">
      <c r="B57" s="42">
        <v>42156</v>
      </c>
      <c r="C57" s="49">
        <v>7.32</v>
      </c>
      <c r="D57" s="9">
        <v>4.63</v>
      </c>
      <c r="E57" s="9">
        <v>1.77</v>
      </c>
      <c r="F57" s="24">
        <v>6.53</v>
      </c>
      <c r="G57" s="24">
        <v>7.38</v>
      </c>
      <c r="H57" s="43">
        <v>7.03</v>
      </c>
    </row>
    <row r="58" spans="2:10" x14ac:dyDescent="0.35">
      <c r="B58" s="42">
        <v>42186</v>
      </c>
      <c r="C58" s="49">
        <v>7.26</v>
      </c>
      <c r="D58" s="9">
        <v>4.22</v>
      </c>
      <c r="E58" s="9">
        <v>2.95</v>
      </c>
      <c r="F58" s="24">
        <v>6.44</v>
      </c>
      <c r="G58" s="24">
        <v>6.75</v>
      </c>
      <c r="H58" s="43">
        <v>6.62</v>
      </c>
    </row>
    <row r="59" spans="2:10" x14ac:dyDescent="0.35">
      <c r="B59" s="42">
        <v>42217</v>
      </c>
      <c r="C59" s="49">
        <v>6.03</v>
      </c>
      <c r="D59" s="9">
        <v>4.34</v>
      </c>
      <c r="E59" s="9">
        <v>2.56</v>
      </c>
      <c r="F59" s="24">
        <v>5.54</v>
      </c>
      <c r="G59" s="24">
        <v>6.05</v>
      </c>
      <c r="H59" s="43">
        <v>5.84</v>
      </c>
    </row>
    <row r="60" spans="2:10" x14ac:dyDescent="0.35">
      <c r="B60" s="42">
        <v>42248</v>
      </c>
      <c r="C60" s="49">
        <v>6.18</v>
      </c>
      <c r="D60" s="9">
        <v>4.84</v>
      </c>
      <c r="E60" s="9">
        <v>2.79</v>
      </c>
      <c r="F60" s="24">
        <v>5.77</v>
      </c>
      <c r="G60" s="24">
        <v>6.1</v>
      </c>
      <c r="H60" s="43">
        <v>5.97</v>
      </c>
    </row>
    <row r="61" spans="2:10" x14ac:dyDescent="0.35">
      <c r="B61" s="42">
        <v>42278</v>
      </c>
      <c r="C61" s="49">
        <v>7.23</v>
      </c>
      <c r="D61" s="9">
        <v>4.87</v>
      </c>
      <c r="E61" s="9">
        <v>3.5</v>
      </c>
      <c r="F61" s="24">
        <v>6.58</v>
      </c>
      <c r="G61" s="24">
        <v>6.82</v>
      </c>
      <c r="H61" s="43">
        <v>6.72</v>
      </c>
    </row>
    <row r="62" spans="2:10" x14ac:dyDescent="0.35">
      <c r="B62" s="42">
        <v>42309</v>
      </c>
      <c r="C62" s="49">
        <v>8.6</v>
      </c>
      <c r="D62" s="9">
        <v>5.03</v>
      </c>
      <c r="E62" s="9">
        <v>3.38</v>
      </c>
      <c r="F62" s="24">
        <v>7.63</v>
      </c>
      <c r="G62" s="24">
        <v>7.12</v>
      </c>
      <c r="H62" s="43">
        <v>7.32</v>
      </c>
    </row>
    <row r="63" spans="2:10" x14ac:dyDescent="0.35">
      <c r="B63" s="42">
        <v>42339</v>
      </c>
      <c r="C63" s="49">
        <v>8.6999999999999993</v>
      </c>
      <c r="D63" s="9">
        <v>7.09</v>
      </c>
      <c r="E63" s="9">
        <v>4.83</v>
      </c>
      <c r="F63" s="24">
        <v>8.2100000000000009</v>
      </c>
      <c r="G63" s="24">
        <v>7.87</v>
      </c>
      <c r="H63" s="43">
        <v>8.01</v>
      </c>
    </row>
    <row r="64" spans="2:10" x14ac:dyDescent="0.35">
      <c r="B64" s="42">
        <v>42370</v>
      </c>
      <c r="C64" s="49">
        <v>7.68</v>
      </c>
      <c r="D64" s="9">
        <v>5.91</v>
      </c>
      <c r="E64" s="24">
        <v>5.44</v>
      </c>
      <c r="F64" s="24">
        <v>7.22</v>
      </c>
      <c r="G64" s="24">
        <v>8.16</v>
      </c>
      <c r="H64" s="35">
        <v>7.78</v>
      </c>
    </row>
    <row r="65" spans="2:8" x14ac:dyDescent="0.35">
      <c r="B65" s="42">
        <v>42401</v>
      </c>
      <c r="C65" s="49">
        <v>6.95</v>
      </c>
      <c r="D65" s="9">
        <v>5.24</v>
      </c>
      <c r="E65" s="24">
        <v>5.51</v>
      </c>
      <c r="F65" s="24">
        <v>6.53</v>
      </c>
      <c r="G65" s="24">
        <v>7.47</v>
      </c>
      <c r="H65" s="35">
        <v>7.09</v>
      </c>
    </row>
    <row r="66" spans="2:8" x14ac:dyDescent="0.35">
      <c r="B66" s="42">
        <v>42430</v>
      </c>
      <c r="C66" s="49">
        <v>6.54</v>
      </c>
      <c r="D66" s="9">
        <v>4.88</v>
      </c>
      <c r="E66" s="24">
        <v>5.21</v>
      </c>
      <c r="F66" s="24">
        <v>6.13</v>
      </c>
      <c r="G66" s="24">
        <v>6.67</v>
      </c>
      <c r="H66" s="35">
        <v>6.45</v>
      </c>
    </row>
    <row r="67" spans="2:8" x14ac:dyDescent="0.35">
      <c r="B67" s="42">
        <v>42461</v>
      </c>
      <c r="C67" s="49">
        <v>5.57</v>
      </c>
      <c r="D67" s="9">
        <v>4.5199999999999996</v>
      </c>
      <c r="E67" s="24">
        <v>5.76</v>
      </c>
      <c r="F67" s="24">
        <v>5.35</v>
      </c>
      <c r="G67" s="24">
        <v>5.22</v>
      </c>
      <c r="H67" s="35">
        <v>5.27</v>
      </c>
    </row>
    <row r="68" spans="2:8" x14ac:dyDescent="0.35">
      <c r="B68" s="42">
        <v>42491</v>
      </c>
      <c r="C68" s="49">
        <v>6.05</v>
      </c>
      <c r="D68" s="9">
        <v>4.0599999999999996</v>
      </c>
      <c r="E68" s="24">
        <v>5.0199999999999996</v>
      </c>
      <c r="F68" s="24">
        <v>5.58</v>
      </c>
      <c r="G68" s="24">
        <v>4.6100000000000003</v>
      </c>
      <c r="H68" s="35">
        <v>5</v>
      </c>
    </row>
    <row r="69" spans="2:8" x14ac:dyDescent="0.35">
      <c r="B69" s="42">
        <v>42522</v>
      </c>
      <c r="C69" s="49">
        <v>7.15</v>
      </c>
      <c r="D69" s="9">
        <v>3.48</v>
      </c>
      <c r="E69" s="24">
        <v>5</v>
      </c>
      <c r="F69" s="24">
        <v>6.28</v>
      </c>
      <c r="G69" s="24">
        <v>5.48</v>
      </c>
      <c r="H69" s="35">
        <v>5.8</v>
      </c>
    </row>
    <row r="70" spans="2:8" x14ac:dyDescent="0.35">
      <c r="B70" s="42">
        <v>42552</v>
      </c>
      <c r="C70" s="49">
        <v>7.24</v>
      </c>
      <c r="D70" s="9">
        <v>3.55</v>
      </c>
      <c r="E70" s="24">
        <v>3.95</v>
      </c>
      <c r="F70" s="24">
        <v>6.33</v>
      </c>
      <c r="G70" s="24">
        <v>6.44</v>
      </c>
      <c r="H70" s="35">
        <v>6.39</v>
      </c>
    </row>
    <row r="71" spans="2:8" x14ac:dyDescent="0.35">
      <c r="B71" s="42">
        <v>42583</v>
      </c>
      <c r="C71" s="49">
        <v>7.14</v>
      </c>
      <c r="D71" s="9">
        <v>3.6</v>
      </c>
      <c r="E71" s="24">
        <v>3.35</v>
      </c>
      <c r="F71" s="24">
        <v>6.24</v>
      </c>
      <c r="G71" s="24">
        <v>6.27</v>
      </c>
      <c r="H71" s="35">
        <v>6.26</v>
      </c>
    </row>
    <row r="72" spans="2:8" x14ac:dyDescent="0.35">
      <c r="B72" s="42">
        <v>42614</v>
      </c>
      <c r="C72" s="49">
        <v>7.03</v>
      </c>
      <c r="D72" s="9">
        <v>3.62</v>
      </c>
      <c r="E72" s="24">
        <v>3.74</v>
      </c>
      <c r="F72" s="24">
        <v>6.17</v>
      </c>
      <c r="G72" s="24">
        <v>6.45</v>
      </c>
      <c r="H72" s="35">
        <v>6.34</v>
      </c>
    </row>
    <row r="73" spans="2:8" x14ac:dyDescent="0.35">
      <c r="B73" s="42">
        <v>42644</v>
      </c>
      <c r="C73" s="49">
        <v>7.18</v>
      </c>
      <c r="D73" s="9">
        <v>3.73</v>
      </c>
      <c r="E73" s="24">
        <v>3.93</v>
      </c>
      <c r="F73" s="24">
        <v>6.32</v>
      </c>
      <c r="G73" s="24">
        <v>6.57</v>
      </c>
      <c r="H73" s="35">
        <v>6.47</v>
      </c>
    </row>
    <row r="74" spans="2:8" x14ac:dyDescent="0.35">
      <c r="B74" s="42">
        <v>42675</v>
      </c>
      <c r="C74" s="49">
        <v>7.02</v>
      </c>
      <c r="D74" s="9">
        <v>4.13</v>
      </c>
      <c r="E74" s="24">
        <v>4.58</v>
      </c>
      <c r="F74" s="24">
        <v>6.32</v>
      </c>
      <c r="G74" s="24">
        <v>6.92</v>
      </c>
      <c r="H74" s="35">
        <v>6.68</v>
      </c>
    </row>
    <row r="75" spans="2:8" x14ac:dyDescent="0.35">
      <c r="B75" s="42">
        <v>42705</v>
      </c>
      <c r="C75" s="49">
        <v>6.34</v>
      </c>
      <c r="D75" s="9">
        <v>2.16</v>
      </c>
      <c r="E75" s="24">
        <v>4.42</v>
      </c>
      <c r="F75" s="24">
        <v>5.37</v>
      </c>
      <c r="G75" s="24">
        <v>7.01</v>
      </c>
      <c r="H75" s="35">
        <v>6.35</v>
      </c>
    </row>
    <row r="76" spans="2:8" x14ac:dyDescent="0.35">
      <c r="B76" s="42">
        <v>42736</v>
      </c>
      <c r="C76" s="49">
        <v>7.27</v>
      </c>
      <c r="D76" s="9">
        <v>4.17</v>
      </c>
      <c r="E76" s="24">
        <v>4.08</v>
      </c>
      <c r="F76" s="24">
        <v>6.49</v>
      </c>
      <c r="G76" s="24">
        <v>7.33</v>
      </c>
      <c r="H76" s="35">
        <v>6.99</v>
      </c>
    </row>
    <row r="77" spans="2:8" x14ac:dyDescent="0.35">
      <c r="B77" s="42">
        <v>42767</v>
      </c>
      <c r="C77" s="49">
        <v>9.81</v>
      </c>
      <c r="D77" s="9">
        <v>5.97</v>
      </c>
      <c r="E77" s="24">
        <v>4.72</v>
      </c>
      <c r="F77" s="24">
        <v>8.81</v>
      </c>
      <c r="G77" s="24">
        <v>9.19</v>
      </c>
      <c r="H77" s="35">
        <v>9.0399999999999991</v>
      </c>
    </row>
    <row r="78" spans="2:8" x14ac:dyDescent="0.35">
      <c r="B78" s="42">
        <v>42795</v>
      </c>
      <c r="C78" s="49">
        <v>11.16</v>
      </c>
      <c r="D78" s="9">
        <v>6.55</v>
      </c>
      <c r="E78" s="24">
        <v>4.9000000000000004</v>
      </c>
      <c r="F78" s="24">
        <v>9.9600000000000009</v>
      </c>
      <c r="G78" s="24">
        <v>10.5</v>
      </c>
      <c r="H78" s="35">
        <v>10.28</v>
      </c>
    </row>
    <row r="79" spans="2:8" x14ac:dyDescent="0.35">
      <c r="B79" s="42">
        <v>42826</v>
      </c>
      <c r="C79" s="49">
        <v>12.34</v>
      </c>
      <c r="D79" s="9">
        <v>7.86</v>
      </c>
      <c r="E79" s="24">
        <v>3.91</v>
      </c>
      <c r="F79" s="24">
        <v>11.1</v>
      </c>
      <c r="G79" s="24">
        <v>11.73</v>
      </c>
      <c r="H79" s="35">
        <v>11.48</v>
      </c>
    </row>
    <row r="80" spans="2:8" x14ac:dyDescent="0.35">
      <c r="B80" s="42">
        <v>42856</v>
      </c>
      <c r="C80" s="49">
        <v>12.14</v>
      </c>
      <c r="D80" s="9">
        <v>7.76</v>
      </c>
      <c r="E80" s="24">
        <v>3.82</v>
      </c>
      <c r="F80" s="24">
        <v>10.93</v>
      </c>
      <c r="G80" s="24">
        <v>12.21</v>
      </c>
      <c r="H80" s="35">
        <v>11.7</v>
      </c>
    </row>
    <row r="81" spans="2:8" x14ac:dyDescent="0.35">
      <c r="B81" s="42">
        <v>42887</v>
      </c>
      <c r="C81" s="49">
        <v>8.9700000000000006</v>
      </c>
      <c r="D81" s="9">
        <v>5.97</v>
      </c>
      <c r="E81" s="24">
        <v>3.23</v>
      </c>
      <c r="F81" s="24">
        <v>8.15</v>
      </c>
      <c r="G81" s="24">
        <v>9.92</v>
      </c>
      <c r="H81" s="35">
        <v>9.2100000000000009</v>
      </c>
    </row>
    <row r="82" spans="2:8" x14ac:dyDescent="0.35">
      <c r="B82" s="42">
        <v>42917</v>
      </c>
      <c r="C82" s="49">
        <v>7.41</v>
      </c>
      <c r="D82" s="9">
        <v>5.48</v>
      </c>
      <c r="E82" s="24">
        <v>2.98</v>
      </c>
      <c r="F82" s="24">
        <v>6.86</v>
      </c>
      <c r="G82" s="24">
        <v>7.88</v>
      </c>
      <c r="H82" s="35">
        <v>7.47</v>
      </c>
    </row>
    <row r="83" spans="2:8" x14ac:dyDescent="0.35">
      <c r="B83" s="42">
        <v>42948</v>
      </c>
      <c r="C83" s="49">
        <v>8.31</v>
      </c>
      <c r="D83" s="9">
        <v>5.71</v>
      </c>
      <c r="E83" s="24">
        <v>2.4900000000000002</v>
      </c>
      <c r="F83" s="24">
        <v>7.56</v>
      </c>
      <c r="G83" s="24">
        <v>8.3699999999999992</v>
      </c>
      <c r="H83" s="35">
        <v>8.0399999999999991</v>
      </c>
    </row>
    <row r="84" spans="2:8" x14ac:dyDescent="0.35">
      <c r="B84" s="42">
        <v>42979</v>
      </c>
      <c r="C84" s="49">
        <v>7.81</v>
      </c>
      <c r="D84" s="9">
        <v>5.55</v>
      </c>
      <c r="E84" s="24">
        <v>2.12</v>
      </c>
      <c r="F84" s="24">
        <v>7.14</v>
      </c>
      <c r="G84" s="24">
        <v>7</v>
      </c>
      <c r="H84" s="35">
        <v>7.06</v>
      </c>
    </row>
    <row r="85" spans="2:8" x14ac:dyDescent="0.35">
      <c r="B85" s="42">
        <v>43009</v>
      </c>
      <c r="C85" s="49">
        <v>6.9</v>
      </c>
      <c r="D85" s="9">
        <v>5.99</v>
      </c>
      <c r="E85" s="24">
        <v>2.9</v>
      </c>
      <c r="F85" s="24">
        <v>6.58</v>
      </c>
      <c r="G85" s="24">
        <v>5.15</v>
      </c>
      <c r="H85" s="35">
        <v>5.72</v>
      </c>
    </row>
    <row r="86" spans="2:8" x14ac:dyDescent="0.35">
      <c r="B86" s="42">
        <v>43040</v>
      </c>
      <c r="C86" s="49">
        <v>5.61</v>
      </c>
      <c r="D86" s="9">
        <v>5.86</v>
      </c>
      <c r="E86" s="24">
        <v>2.78</v>
      </c>
      <c r="F86" s="24">
        <v>5.57</v>
      </c>
      <c r="G86" s="24">
        <v>4.16</v>
      </c>
      <c r="H86" s="35">
        <v>4.7300000000000004</v>
      </c>
    </row>
    <row r="87" spans="2:8" x14ac:dyDescent="0.35">
      <c r="B87" s="42">
        <v>43070</v>
      </c>
      <c r="C87" s="49">
        <v>5.97</v>
      </c>
      <c r="D87" s="9">
        <v>6.11</v>
      </c>
      <c r="E87" s="24">
        <v>3.3</v>
      </c>
      <c r="F87" s="24">
        <v>5.91</v>
      </c>
      <c r="G87" s="24">
        <v>3.55</v>
      </c>
      <c r="H87" s="35">
        <v>4.5</v>
      </c>
    </row>
    <row r="88" spans="2:8" x14ac:dyDescent="0.35">
      <c r="B88" s="42">
        <v>43101</v>
      </c>
      <c r="C88" s="49">
        <v>6.49</v>
      </c>
      <c r="D88" s="9">
        <v>6.35</v>
      </c>
      <c r="E88" s="24">
        <v>3.91</v>
      </c>
      <c r="F88" s="24">
        <v>6.37</v>
      </c>
      <c r="G88" s="24">
        <v>3.8</v>
      </c>
      <c r="H88" s="35">
        <v>4.83</v>
      </c>
    </row>
    <row r="89" spans="2:8" x14ac:dyDescent="0.35">
      <c r="B89" s="42">
        <v>43132</v>
      </c>
      <c r="C89" s="49">
        <v>5.75</v>
      </c>
      <c r="D89" s="9">
        <v>5.77</v>
      </c>
      <c r="E89" s="24">
        <v>4.18</v>
      </c>
      <c r="F89" s="24">
        <v>5.7</v>
      </c>
      <c r="G89" s="24">
        <v>3.62</v>
      </c>
      <c r="H89" s="35">
        <v>4.46</v>
      </c>
    </row>
    <row r="90" spans="2:8" x14ac:dyDescent="0.35">
      <c r="B90" s="42">
        <v>43160</v>
      </c>
      <c r="C90" s="49">
        <v>5.36</v>
      </c>
      <c r="D90" s="9">
        <v>5.37</v>
      </c>
      <c r="E90" s="24">
        <v>4.1500000000000004</v>
      </c>
      <c r="F90" s="24">
        <v>5.33</v>
      </c>
      <c r="G90" s="24">
        <v>3.4</v>
      </c>
      <c r="H90" s="35">
        <v>4.18</v>
      </c>
    </row>
    <row r="91" spans="2:8" x14ac:dyDescent="0.35">
      <c r="B91" s="42">
        <v>43191</v>
      </c>
      <c r="C91" s="49">
        <v>4.3600000000000003</v>
      </c>
      <c r="D91" s="9">
        <v>4.1900000000000004</v>
      </c>
      <c r="E91" s="24">
        <v>4.1399999999999997</v>
      </c>
      <c r="F91" s="24">
        <v>4.32</v>
      </c>
      <c r="G91" s="24">
        <v>3.33</v>
      </c>
      <c r="H91" s="35">
        <v>3.73</v>
      </c>
    </row>
    <row r="92" spans="2:8" x14ac:dyDescent="0.35">
      <c r="B92" s="42">
        <v>43221</v>
      </c>
      <c r="C92" s="49">
        <v>4.8499999999999996</v>
      </c>
      <c r="D92" s="9">
        <v>4.6100000000000003</v>
      </c>
      <c r="E92" s="24">
        <v>4.2300000000000004</v>
      </c>
      <c r="F92" s="24">
        <v>4.78</v>
      </c>
      <c r="G92" s="24">
        <v>3.4</v>
      </c>
      <c r="H92" s="35">
        <v>3.95</v>
      </c>
    </row>
    <row r="93" spans="2:8" x14ac:dyDescent="0.35">
      <c r="B93" s="42">
        <v>43252</v>
      </c>
      <c r="C93" s="49">
        <v>5.52</v>
      </c>
      <c r="D93" s="9">
        <v>5.64</v>
      </c>
      <c r="E93" s="24">
        <v>5.75</v>
      </c>
      <c r="F93" s="24">
        <v>5.55</v>
      </c>
      <c r="G93" s="24">
        <v>3.43</v>
      </c>
      <c r="H93" s="35">
        <v>4.28</v>
      </c>
    </row>
    <row r="94" spans="2:8" x14ac:dyDescent="0.35">
      <c r="B94" s="42">
        <v>43282</v>
      </c>
      <c r="C94" s="49">
        <v>5.3</v>
      </c>
      <c r="D94" s="9">
        <v>5.38</v>
      </c>
      <c r="E94" s="24">
        <v>5.46</v>
      </c>
      <c r="F94" s="24">
        <v>5.32</v>
      </c>
      <c r="G94" s="24">
        <v>3.71</v>
      </c>
      <c r="H94" s="35">
        <v>4.3499999999999996</v>
      </c>
    </row>
    <row r="95" spans="2:8" x14ac:dyDescent="0.35">
      <c r="B95" s="42">
        <v>43313</v>
      </c>
      <c r="C95" s="49">
        <v>3.6</v>
      </c>
      <c r="D95" s="9">
        <v>5.77</v>
      </c>
      <c r="E95" s="24">
        <v>7.76</v>
      </c>
      <c r="F95" s="24">
        <v>4.1900000000000004</v>
      </c>
      <c r="G95" s="24">
        <v>3.94</v>
      </c>
      <c r="H95" s="35">
        <v>4.04</v>
      </c>
    </row>
    <row r="96" spans="2:8" x14ac:dyDescent="0.35">
      <c r="B96" s="42">
        <v>43344</v>
      </c>
      <c r="C96" s="49">
        <v>4.4000000000000004</v>
      </c>
      <c r="D96" s="9">
        <v>6.82</v>
      </c>
      <c r="E96" s="24">
        <v>9.42</v>
      </c>
      <c r="F96" s="24">
        <v>5.07</v>
      </c>
      <c r="G96" s="24">
        <v>6.13</v>
      </c>
      <c r="H96" s="35">
        <v>5.7</v>
      </c>
    </row>
    <row r="97" spans="2:8" x14ac:dyDescent="0.35">
      <c r="B97" s="42">
        <v>43374</v>
      </c>
      <c r="C97" s="49">
        <v>3.07</v>
      </c>
      <c r="D97" s="9">
        <v>6.02</v>
      </c>
      <c r="E97" s="24">
        <v>7.15</v>
      </c>
      <c r="F97" s="24">
        <v>3.82</v>
      </c>
      <c r="G97" s="24">
        <v>6.69</v>
      </c>
      <c r="H97" s="35">
        <v>5.53</v>
      </c>
    </row>
    <row r="98" spans="2:8" x14ac:dyDescent="0.35">
      <c r="B98" s="42">
        <v>43405</v>
      </c>
      <c r="C98" s="49">
        <v>3.42</v>
      </c>
      <c r="D98" s="9">
        <v>6.18</v>
      </c>
      <c r="E98" s="24">
        <v>6.93</v>
      </c>
      <c r="F98" s="24">
        <v>4.1100000000000003</v>
      </c>
      <c r="G98" s="24">
        <v>6.59</v>
      </c>
      <c r="H98" s="35">
        <v>5.58</v>
      </c>
    </row>
    <row r="99" spans="2:8" x14ac:dyDescent="0.35">
      <c r="B99" s="42">
        <v>43435</v>
      </c>
      <c r="C99" s="49">
        <v>3.5</v>
      </c>
      <c r="D99" s="9">
        <v>6.17</v>
      </c>
      <c r="E99" s="24">
        <v>7.86</v>
      </c>
      <c r="F99" s="24">
        <v>4.21</v>
      </c>
      <c r="G99" s="24">
        <v>6.73</v>
      </c>
      <c r="H99" s="35">
        <v>5.71</v>
      </c>
    </row>
    <row r="100" spans="2:8" x14ac:dyDescent="0.35">
      <c r="B100" s="42">
        <v>43466</v>
      </c>
      <c r="C100" s="49">
        <v>2.94</v>
      </c>
      <c r="D100" s="9">
        <v>5.16</v>
      </c>
      <c r="E100" s="24">
        <v>6.5</v>
      </c>
      <c r="F100" s="24">
        <v>3.53</v>
      </c>
      <c r="G100" s="24">
        <v>5.5</v>
      </c>
      <c r="H100" s="35">
        <v>4.7</v>
      </c>
    </row>
    <row r="101" spans="2:8" x14ac:dyDescent="0.35">
      <c r="B101" s="42">
        <v>43497</v>
      </c>
      <c r="C101" s="49">
        <v>2.71</v>
      </c>
      <c r="D101" s="9">
        <v>4.96</v>
      </c>
      <c r="E101" s="24">
        <v>5.46</v>
      </c>
      <c r="F101" s="24">
        <v>3.27</v>
      </c>
      <c r="G101" s="24">
        <v>4.7300000000000004</v>
      </c>
      <c r="H101" s="35">
        <v>4.1399999999999997</v>
      </c>
    </row>
    <row r="102" spans="2:8" x14ac:dyDescent="0.35">
      <c r="B102" s="42">
        <v>43525</v>
      </c>
      <c r="C102" s="49">
        <v>3.15</v>
      </c>
      <c r="D102" s="9">
        <v>5.46</v>
      </c>
      <c r="E102" s="24">
        <v>6.1</v>
      </c>
      <c r="F102" s="24">
        <v>3.72</v>
      </c>
      <c r="G102" s="24">
        <v>4.78</v>
      </c>
      <c r="H102" s="35">
        <v>4.3499999999999996</v>
      </c>
    </row>
    <row r="103" spans="2:8" x14ac:dyDescent="0.35">
      <c r="B103" s="42">
        <v>43556</v>
      </c>
      <c r="C103" s="49">
        <v>6.45</v>
      </c>
      <c r="D103" s="9">
        <v>6.96</v>
      </c>
      <c r="E103" s="24">
        <v>7.16</v>
      </c>
      <c r="F103" s="24">
        <v>6.58</v>
      </c>
      <c r="G103" s="24">
        <v>6.59</v>
      </c>
      <c r="H103" s="35">
        <v>6.58</v>
      </c>
    </row>
    <row r="104" spans="2:8" x14ac:dyDescent="0.35">
      <c r="B104" s="42">
        <v>43586</v>
      </c>
      <c r="C104" s="49">
        <v>4.57</v>
      </c>
      <c r="D104" s="9">
        <v>6.02</v>
      </c>
      <c r="E104" s="24">
        <v>6.77</v>
      </c>
      <c r="F104" s="24">
        <v>4.9400000000000004</v>
      </c>
      <c r="G104" s="24">
        <v>5.87</v>
      </c>
      <c r="H104" s="35">
        <v>5.49</v>
      </c>
    </row>
    <row r="105" spans="2:8" x14ac:dyDescent="0.35">
      <c r="B105" s="42">
        <v>43617</v>
      </c>
      <c r="C105" s="49">
        <v>4.8499999999999996</v>
      </c>
      <c r="D105" s="9">
        <v>6.03</v>
      </c>
      <c r="E105" s="24">
        <v>5.77</v>
      </c>
      <c r="F105" s="24">
        <v>5.13</v>
      </c>
      <c r="G105" s="24">
        <v>6.1</v>
      </c>
      <c r="H105" s="35">
        <v>5.7</v>
      </c>
    </row>
    <row r="106" spans="2:8" x14ac:dyDescent="0.35">
      <c r="B106" s="42">
        <v>43647</v>
      </c>
      <c r="C106" s="49">
        <v>6.13</v>
      </c>
      <c r="D106" s="9">
        <v>6.39</v>
      </c>
      <c r="E106" s="24">
        <v>8.33</v>
      </c>
      <c r="F106" s="24">
        <v>6.26</v>
      </c>
      <c r="G106" s="24">
        <v>6.29</v>
      </c>
      <c r="H106" s="35">
        <v>6.27</v>
      </c>
    </row>
    <row r="107" spans="2:8" x14ac:dyDescent="0.35">
      <c r="B107" s="42">
        <v>43678</v>
      </c>
      <c r="C107" s="49">
        <v>5.66</v>
      </c>
      <c r="D107" s="9">
        <v>4.75</v>
      </c>
      <c r="E107" s="24">
        <v>5.35</v>
      </c>
      <c r="F107" s="24">
        <v>5.46</v>
      </c>
      <c r="G107" s="24">
        <v>4.6900000000000004</v>
      </c>
      <c r="H107" s="35">
        <v>5</v>
      </c>
    </row>
    <row r="108" spans="2:8" x14ac:dyDescent="0.35">
      <c r="B108" s="42">
        <v>43709</v>
      </c>
      <c r="C108" s="49">
        <v>5.03</v>
      </c>
      <c r="D108" s="9">
        <v>3.61</v>
      </c>
      <c r="E108" s="24">
        <v>3.9</v>
      </c>
      <c r="F108" s="24">
        <v>4.6900000000000004</v>
      </c>
      <c r="G108" s="24">
        <v>3.25</v>
      </c>
      <c r="H108" s="35">
        <v>3.83</v>
      </c>
    </row>
    <row r="109" spans="2:8" x14ac:dyDescent="0.35">
      <c r="B109" s="42">
        <v>43739</v>
      </c>
      <c r="C109" s="49">
        <v>6.81</v>
      </c>
      <c r="D109" s="9">
        <v>4.0999999999999996</v>
      </c>
      <c r="E109" s="24">
        <v>5.17</v>
      </c>
      <c r="F109" s="24">
        <v>6.17</v>
      </c>
      <c r="G109" s="24">
        <v>4.1399999999999997</v>
      </c>
      <c r="H109" s="35">
        <v>4.95</v>
      </c>
    </row>
    <row r="110" spans="2:8" x14ac:dyDescent="0.35">
      <c r="B110" s="42">
        <v>43770</v>
      </c>
      <c r="C110" s="49">
        <v>7.2</v>
      </c>
      <c r="D110" s="9">
        <v>4.17</v>
      </c>
      <c r="E110" s="24">
        <v>5.3</v>
      </c>
      <c r="F110" s="24">
        <v>6.48</v>
      </c>
      <c r="G110" s="24">
        <v>4.9400000000000004</v>
      </c>
      <c r="H110" s="35">
        <v>5.56</v>
      </c>
    </row>
    <row r="111" spans="2:8" x14ac:dyDescent="0.35">
      <c r="B111" s="42">
        <v>43800</v>
      </c>
      <c r="C111" s="49">
        <v>7.94</v>
      </c>
      <c r="D111" s="9">
        <v>4.3499999999999996</v>
      </c>
      <c r="E111" s="24">
        <v>5.33</v>
      </c>
      <c r="F111" s="24">
        <v>7.08</v>
      </c>
      <c r="G111" s="24">
        <v>4.9800000000000004</v>
      </c>
      <c r="H111" s="35">
        <v>5.82</v>
      </c>
    </row>
    <row r="112" spans="2:8" x14ac:dyDescent="0.35">
      <c r="B112" s="42">
        <v>43831</v>
      </c>
      <c r="C112" s="50">
        <v>8.15</v>
      </c>
      <c r="D112" s="24">
        <v>3.8449999999999998</v>
      </c>
      <c r="E112" s="24">
        <v>4.37</v>
      </c>
      <c r="F112" s="24">
        <v>6.62</v>
      </c>
      <c r="G112" s="24">
        <v>6.4350000000000005</v>
      </c>
      <c r="H112" s="43">
        <v>6.4950000000000001</v>
      </c>
    </row>
    <row r="113" spans="2:8" x14ac:dyDescent="0.35">
      <c r="B113" s="42">
        <v>43862</v>
      </c>
      <c r="C113" s="49">
        <v>8.36</v>
      </c>
      <c r="D113" s="9">
        <v>3.34</v>
      </c>
      <c r="E113" s="24">
        <v>3.41</v>
      </c>
      <c r="F113" s="24">
        <v>6.16</v>
      </c>
      <c r="G113" s="24">
        <v>7.89</v>
      </c>
      <c r="H113" s="35">
        <v>7.17</v>
      </c>
    </row>
    <row r="114" spans="2:8" x14ac:dyDescent="0.35">
      <c r="B114" s="42">
        <v>43891</v>
      </c>
      <c r="C114" s="49">
        <v>6.9</v>
      </c>
      <c r="D114" s="9">
        <v>3.29</v>
      </c>
      <c r="E114" s="24">
        <v>2.89</v>
      </c>
      <c r="F114" s="24">
        <v>5.28</v>
      </c>
      <c r="G114" s="24">
        <v>6.24</v>
      </c>
      <c r="H114" s="35">
        <v>5.84</v>
      </c>
    </row>
    <row r="115" spans="2:8" x14ac:dyDescent="0.35">
      <c r="B115" s="42">
        <v>43922</v>
      </c>
      <c r="C115" s="49">
        <v>6.77</v>
      </c>
      <c r="D115" s="9">
        <v>3.4</v>
      </c>
      <c r="E115" s="24">
        <v>2.9</v>
      </c>
      <c r="F115" s="24">
        <v>5.25</v>
      </c>
      <c r="G115" s="24">
        <v>6.55</v>
      </c>
      <c r="H115" s="35">
        <v>6.01</v>
      </c>
    </row>
    <row r="116" spans="2:8" x14ac:dyDescent="0.35">
      <c r="B116" s="42">
        <v>43952</v>
      </c>
      <c r="C116" s="49">
        <v>6.08</v>
      </c>
      <c r="D116" s="9">
        <v>2.68</v>
      </c>
      <c r="E116" s="24">
        <v>2.67</v>
      </c>
      <c r="F116" s="24">
        <v>4.6100000000000003</v>
      </c>
      <c r="G116" s="24">
        <v>5.84</v>
      </c>
      <c r="H116" s="35">
        <v>5.33</v>
      </c>
    </row>
    <row r="117" spans="2:8" x14ac:dyDescent="0.35">
      <c r="B117" s="42">
        <v>43983</v>
      </c>
      <c r="C117" s="49">
        <v>5.42</v>
      </c>
      <c r="D117" s="9">
        <v>2.79</v>
      </c>
      <c r="E117" s="24">
        <v>2.29</v>
      </c>
      <c r="F117" s="24">
        <v>4.2300000000000004</v>
      </c>
      <c r="G117" s="24">
        <v>4.84</v>
      </c>
      <c r="H117" s="35">
        <v>4.59</v>
      </c>
    </row>
    <row r="118" spans="2:8" x14ac:dyDescent="0.35">
      <c r="B118" s="42">
        <v>44013</v>
      </c>
      <c r="C118" s="49">
        <v>5.44</v>
      </c>
      <c r="D118" s="9">
        <v>1.84</v>
      </c>
      <c r="E118" s="24">
        <v>2.0099999999999998</v>
      </c>
      <c r="F118" s="24">
        <v>3.9</v>
      </c>
      <c r="G118" s="24">
        <v>4.68</v>
      </c>
      <c r="H118" s="35">
        <v>4.3600000000000003</v>
      </c>
    </row>
    <row r="119" spans="2:8" x14ac:dyDescent="0.35">
      <c r="B119" s="42">
        <v>44044</v>
      </c>
      <c r="C119" s="49">
        <v>5.3</v>
      </c>
      <c r="D119" s="9">
        <v>1.79</v>
      </c>
      <c r="E119" s="24">
        <v>2.68</v>
      </c>
      <c r="F119" s="24">
        <v>3.88</v>
      </c>
      <c r="G119" s="24">
        <v>4.6900000000000004</v>
      </c>
      <c r="H119" s="35">
        <v>4.3600000000000003</v>
      </c>
    </row>
    <row r="120" spans="2:8" x14ac:dyDescent="0.35">
      <c r="B120" s="42">
        <v>44075</v>
      </c>
      <c r="C120" s="49">
        <v>5.26</v>
      </c>
      <c r="D120" s="9">
        <v>1.67</v>
      </c>
      <c r="E120" s="24">
        <v>2.29</v>
      </c>
      <c r="F120" s="24">
        <v>3.77</v>
      </c>
      <c r="G120" s="24">
        <v>4.5</v>
      </c>
      <c r="H120" s="35">
        <v>4.2</v>
      </c>
    </row>
    <row r="121" spans="2:8" x14ac:dyDescent="0.35">
      <c r="B121" s="42">
        <v>44105</v>
      </c>
      <c r="C121" s="49">
        <v>5.24</v>
      </c>
      <c r="D121" s="9">
        <v>2.31</v>
      </c>
      <c r="E121" s="24">
        <v>2.57</v>
      </c>
      <c r="F121" s="24">
        <v>4.01</v>
      </c>
      <c r="G121" s="24">
        <v>5.43</v>
      </c>
      <c r="H121" s="35">
        <v>4.84</v>
      </c>
    </row>
    <row r="122" spans="2:8" x14ac:dyDescent="0.35">
      <c r="B122" s="42">
        <v>44136</v>
      </c>
      <c r="C122" s="49">
        <v>5.26</v>
      </c>
      <c r="D122" s="9">
        <v>2.3199999999999998</v>
      </c>
      <c r="E122" s="24">
        <v>2.2799999999999998</v>
      </c>
      <c r="F122" s="24">
        <v>3.99</v>
      </c>
      <c r="G122" s="24">
        <v>6.28</v>
      </c>
      <c r="H122" s="35">
        <v>5.33</v>
      </c>
    </row>
    <row r="123" spans="2:8" x14ac:dyDescent="0.35">
      <c r="B123" s="42">
        <v>44166</v>
      </c>
      <c r="C123" s="49">
        <v>6.08</v>
      </c>
      <c r="D123" s="9">
        <v>2.86</v>
      </c>
      <c r="E123" s="24">
        <v>2.38</v>
      </c>
      <c r="F123" s="24">
        <v>4.6399999999999997</v>
      </c>
      <c r="G123" s="24">
        <v>6.3</v>
      </c>
      <c r="H123" s="35">
        <v>5.62</v>
      </c>
    </row>
    <row r="124" spans="2:8" x14ac:dyDescent="0.35">
      <c r="B124" s="42">
        <v>44197</v>
      </c>
      <c r="C124" s="49">
        <v>5.7</v>
      </c>
      <c r="D124" s="9">
        <v>3.11</v>
      </c>
      <c r="E124" s="24">
        <v>2.91</v>
      </c>
      <c r="F124" s="24">
        <v>4.57</v>
      </c>
      <c r="G124" s="24">
        <v>6.48</v>
      </c>
      <c r="H124" s="35">
        <v>5.69</v>
      </c>
    </row>
    <row r="125" spans="2:8" x14ac:dyDescent="0.35">
      <c r="B125" s="42">
        <v>44228</v>
      </c>
      <c r="C125" s="49">
        <v>5.73</v>
      </c>
      <c r="D125" s="9">
        <v>3.3</v>
      </c>
      <c r="E125" s="24">
        <v>3.05</v>
      </c>
      <c r="F125" s="24">
        <v>4.66</v>
      </c>
      <c r="G125" s="24">
        <v>6.56</v>
      </c>
      <c r="H125" s="35">
        <v>5.78</v>
      </c>
    </row>
    <row r="126" spans="2:8" x14ac:dyDescent="0.35">
      <c r="B126" s="42">
        <v>44256</v>
      </c>
      <c r="C126" s="49">
        <v>5.78</v>
      </c>
      <c r="D126" s="9">
        <v>3.48</v>
      </c>
      <c r="E126" s="24">
        <v>3.7</v>
      </c>
      <c r="F126" s="24">
        <v>4.82</v>
      </c>
      <c r="G126" s="24">
        <v>6.65</v>
      </c>
      <c r="H126" s="35">
        <v>5.9</v>
      </c>
    </row>
    <row r="127" spans="2:8" x14ac:dyDescent="0.35">
      <c r="B127" s="42">
        <v>44287</v>
      </c>
      <c r="C127" s="49">
        <v>5.67</v>
      </c>
      <c r="D127" s="9">
        <v>3.45</v>
      </c>
      <c r="E127" s="24">
        <v>3.55</v>
      </c>
      <c r="F127" s="24">
        <v>4.74</v>
      </c>
      <c r="G127" s="24">
        <v>6.47</v>
      </c>
      <c r="H127" s="35">
        <v>5.76</v>
      </c>
    </row>
    <row r="128" spans="2:8" x14ac:dyDescent="0.35">
      <c r="B128" s="42">
        <v>44317</v>
      </c>
      <c r="C128" s="49">
        <v>5.86</v>
      </c>
      <c r="D128" s="9">
        <v>3.86</v>
      </c>
      <c r="E128" s="24">
        <v>3.71</v>
      </c>
      <c r="F128" s="24">
        <v>4.99</v>
      </c>
      <c r="G128" s="24">
        <v>6.48</v>
      </c>
      <c r="H128" s="35">
        <v>5.87</v>
      </c>
    </row>
    <row r="129" spans="2:8" x14ac:dyDescent="0.35">
      <c r="B129" s="42">
        <v>44348</v>
      </c>
      <c r="C129" s="49">
        <v>6.17</v>
      </c>
      <c r="D129" s="9">
        <v>3.6</v>
      </c>
      <c r="E129" s="24">
        <v>4.1500000000000004</v>
      </c>
      <c r="F129" s="24">
        <v>5.14</v>
      </c>
      <c r="G129" s="24">
        <v>7.15</v>
      </c>
      <c r="H129" s="35">
        <v>6.32</v>
      </c>
    </row>
    <row r="130" spans="2:8" x14ac:dyDescent="0.35">
      <c r="B130" s="42">
        <v>44378</v>
      </c>
      <c r="C130" s="49">
        <v>6.18</v>
      </c>
      <c r="D130" s="9">
        <v>5.09</v>
      </c>
      <c r="E130" s="24">
        <v>4.46</v>
      </c>
      <c r="F130" s="24">
        <v>5.65</v>
      </c>
      <c r="G130" s="24">
        <v>7.17</v>
      </c>
      <c r="H130" s="35">
        <v>6.55</v>
      </c>
    </row>
    <row r="131" spans="2:8" x14ac:dyDescent="0.35">
      <c r="B131" s="42">
        <v>44409</v>
      </c>
      <c r="C131" s="49">
        <v>6.33</v>
      </c>
      <c r="D131" s="9">
        <v>5.2</v>
      </c>
      <c r="E131" s="24">
        <v>3.81</v>
      </c>
      <c r="F131" s="24">
        <v>5.69</v>
      </c>
      <c r="G131" s="24">
        <v>7.19</v>
      </c>
      <c r="H131" s="35">
        <v>6.57</v>
      </c>
    </row>
    <row r="132" spans="2:8" x14ac:dyDescent="0.35">
      <c r="B132" s="42">
        <v>44440</v>
      </c>
      <c r="C132" s="49">
        <v>6.47</v>
      </c>
      <c r="D132" s="9">
        <v>5.44</v>
      </c>
      <c r="E132" s="24">
        <v>4.84</v>
      </c>
      <c r="F132" s="24">
        <v>5.96</v>
      </c>
      <c r="G132" s="24">
        <v>7.58</v>
      </c>
      <c r="H132" s="35">
        <v>6.91</v>
      </c>
    </row>
    <row r="133" spans="2:8" x14ac:dyDescent="0.35">
      <c r="B133" s="42">
        <v>44470</v>
      </c>
      <c r="C133" s="49">
        <v>6.52</v>
      </c>
      <c r="D133" s="9">
        <v>4.79</v>
      </c>
      <c r="E133" s="24">
        <v>4.6100000000000003</v>
      </c>
      <c r="F133" s="24">
        <v>5.76</v>
      </c>
      <c r="G133" s="24">
        <v>6.93</v>
      </c>
      <c r="H133" s="35">
        <v>6.45</v>
      </c>
    </row>
    <row r="134" spans="2:8" x14ac:dyDescent="0.35">
      <c r="B134" s="42">
        <v>44501</v>
      </c>
      <c r="C134" s="49">
        <v>5.86</v>
      </c>
      <c r="D134" s="9">
        <v>4.71</v>
      </c>
      <c r="E134" s="24">
        <v>4.87</v>
      </c>
      <c r="F134" s="24">
        <v>5.39</v>
      </c>
      <c r="G134" s="24">
        <v>6.08</v>
      </c>
      <c r="H134" s="35">
        <v>5.8</v>
      </c>
    </row>
    <row r="135" spans="2:8" x14ac:dyDescent="0.35">
      <c r="B135" s="42">
        <v>44531</v>
      </c>
      <c r="C135" s="49">
        <v>5.74</v>
      </c>
      <c r="D135" s="9">
        <v>4.47</v>
      </c>
      <c r="E135" s="24">
        <v>4.74</v>
      </c>
      <c r="F135" s="24">
        <v>5.24</v>
      </c>
      <c r="G135" s="24">
        <v>6.07</v>
      </c>
      <c r="H135" s="35">
        <v>5.73</v>
      </c>
    </row>
    <row r="136" spans="2:8" x14ac:dyDescent="0.35">
      <c r="B136" s="42">
        <v>44562</v>
      </c>
      <c r="C136" s="49">
        <v>5.65</v>
      </c>
      <c r="D136" s="24">
        <v>3.99</v>
      </c>
      <c r="E136" s="24">
        <v>4.29</v>
      </c>
      <c r="F136" s="24">
        <v>4.9800000000000004</v>
      </c>
      <c r="G136" s="9">
        <v>5.67</v>
      </c>
      <c r="H136" s="35">
        <v>5.39</v>
      </c>
    </row>
    <row r="137" spans="2:8" x14ac:dyDescent="0.35">
      <c r="B137" s="42">
        <v>44593</v>
      </c>
      <c r="C137" s="49">
        <v>5.41</v>
      </c>
      <c r="D137" s="24">
        <v>3.81</v>
      </c>
      <c r="E137" s="24">
        <v>3.67</v>
      </c>
      <c r="F137" s="24">
        <v>4.72</v>
      </c>
      <c r="G137" s="9">
        <v>5.34</v>
      </c>
      <c r="H137" s="35">
        <v>5.08</v>
      </c>
    </row>
    <row r="138" spans="2:8" x14ac:dyDescent="0.35">
      <c r="B138" s="42">
        <v>44621</v>
      </c>
      <c r="C138" s="49">
        <v>5.9</v>
      </c>
      <c r="D138" s="24">
        <v>4.05</v>
      </c>
      <c r="E138" s="24">
        <v>3.77</v>
      </c>
      <c r="F138" s="24">
        <v>5.09</v>
      </c>
      <c r="G138" s="9">
        <v>5.88</v>
      </c>
      <c r="H138" s="35">
        <v>5.56</v>
      </c>
    </row>
    <row r="139" spans="2:8" x14ac:dyDescent="0.35">
      <c r="B139" s="42">
        <v>44652</v>
      </c>
      <c r="C139" s="49">
        <v>6.74</v>
      </c>
      <c r="D139" s="24">
        <v>4.8899999999999997</v>
      </c>
      <c r="E139" s="24">
        <v>5.04</v>
      </c>
      <c r="F139" s="24">
        <v>5.98</v>
      </c>
      <c r="G139" s="9">
        <v>6.81</v>
      </c>
      <c r="H139" s="35">
        <v>6.47</v>
      </c>
    </row>
    <row r="140" spans="2:8" x14ac:dyDescent="0.35">
      <c r="B140" s="42">
        <v>44682</v>
      </c>
      <c r="C140" s="49">
        <v>7.32</v>
      </c>
      <c r="D140" s="24">
        <v>5.34</v>
      </c>
      <c r="E140" s="24">
        <v>5.3</v>
      </c>
      <c r="F140" s="24">
        <v>6.48</v>
      </c>
      <c r="G140" s="9">
        <v>7.5</v>
      </c>
      <c r="H140" s="35">
        <v>7.08</v>
      </c>
    </row>
    <row r="141" spans="2:8" x14ac:dyDescent="0.35">
      <c r="B141" s="42">
        <v>44713</v>
      </c>
      <c r="C141" s="49">
        <v>8.19</v>
      </c>
      <c r="D141" s="24">
        <v>6.25</v>
      </c>
      <c r="E141" s="24">
        <v>5.71</v>
      </c>
      <c r="F141" s="24">
        <v>7.31</v>
      </c>
      <c r="G141" s="9">
        <v>8.32</v>
      </c>
      <c r="H141" s="35">
        <v>7.91</v>
      </c>
    </row>
    <row r="142" spans="2:8" x14ac:dyDescent="0.35">
      <c r="B142" s="42">
        <v>44743</v>
      </c>
      <c r="C142" s="49">
        <v>8.75</v>
      </c>
      <c r="D142" s="24">
        <v>6.27</v>
      </c>
      <c r="E142" s="24">
        <v>6.01</v>
      </c>
      <c r="F142" s="24">
        <v>7.67</v>
      </c>
      <c r="G142" s="9">
        <v>8.76</v>
      </c>
      <c r="H142" s="35">
        <v>8.32</v>
      </c>
    </row>
    <row r="143" spans="2:8" x14ac:dyDescent="0.35">
      <c r="B143" s="42">
        <v>44774</v>
      </c>
      <c r="C143" s="49">
        <v>9.19</v>
      </c>
      <c r="D143" s="24">
        <v>6.47</v>
      </c>
      <c r="E143" s="24">
        <v>6.2</v>
      </c>
      <c r="F143" s="24">
        <v>8.01</v>
      </c>
      <c r="G143" s="9">
        <v>8.8800000000000008</v>
      </c>
      <c r="H143" s="35">
        <v>8.5299999999999994</v>
      </c>
    </row>
    <row r="144" spans="2:8" x14ac:dyDescent="0.35">
      <c r="B144" s="42">
        <v>44805</v>
      </c>
      <c r="C144" s="49">
        <v>9.75</v>
      </c>
      <c r="D144" s="24">
        <v>7.34</v>
      </c>
      <c r="E144" s="24">
        <v>6.92</v>
      </c>
      <c r="F144" s="24">
        <v>8.69</v>
      </c>
      <c r="G144" s="9">
        <v>9.51</v>
      </c>
      <c r="H144" s="35">
        <v>9.18</v>
      </c>
    </row>
    <row r="145" spans="2:8" x14ac:dyDescent="0.35">
      <c r="B145" s="42">
        <v>44835</v>
      </c>
      <c r="C145" s="49">
        <v>10.17</v>
      </c>
      <c r="D145" s="24">
        <v>7.88</v>
      </c>
      <c r="E145" s="24">
        <v>7.07</v>
      </c>
      <c r="F145" s="24">
        <v>9.1199999999999992</v>
      </c>
      <c r="G145" s="9">
        <v>9.92</v>
      </c>
      <c r="H145" s="35">
        <v>9.59</v>
      </c>
    </row>
    <row r="146" spans="2:8" x14ac:dyDescent="0.35">
      <c r="B146" s="42">
        <v>44866</v>
      </c>
      <c r="C146" s="49">
        <v>10.36</v>
      </c>
      <c r="D146" s="24">
        <v>7.78</v>
      </c>
      <c r="E146" s="24">
        <v>6.9</v>
      </c>
      <c r="F146" s="24">
        <v>9.17</v>
      </c>
      <c r="G146" s="9">
        <v>9.68</v>
      </c>
      <c r="H146" s="35">
        <v>9.48</v>
      </c>
    </row>
    <row r="147" spans="2:8" x14ac:dyDescent="0.35">
      <c r="B147" s="42">
        <v>44896</v>
      </c>
      <c r="C147" s="49">
        <v>9.23</v>
      </c>
      <c r="D147" s="24">
        <v>7.49</v>
      </c>
      <c r="E147" s="24">
        <v>6.86</v>
      </c>
      <c r="F147" s="24">
        <v>8.43</v>
      </c>
      <c r="G147" s="9">
        <v>9.5</v>
      </c>
      <c r="H147" s="35">
        <v>9.06</v>
      </c>
    </row>
    <row r="148" spans="2:8" x14ac:dyDescent="0.35">
      <c r="B148" s="42">
        <v>44927</v>
      </c>
      <c r="C148" s="49">
        <v>9.11</v>
      </c>
      <c r="D148" s="24">
        <v>7.69</v>
      </c>
      <c r="E148" s="24">
        <v>7.05</v>
      </c>
      <c r="F148" s="24">
        <v>8.44</v>
      </c>
      <c r="G148" s="9">
        <v>9.35</v>
      </c>
      <c r="H148" s="35">
        <v>8.98</v>
      </c>
    </row>
    <row r="149" spans="2:8" x14ac:dyDescent="0.35">
      <c r="B149" s="42">
        <v>44958</v>
      </c>
      <c r="C149" s="49">
        <v>9.25</v>
      </c>
      <c r="D149" s="24">
        <v>7.73</v>
      </c>
      <c r="E149" s="24">
        <v>7.1</v>
      </c>
      <c r="F149" s="24">
        <v>8.5399999999999991</v>
      </c>
      <c r="G149" s="9">
        <v>9.6999999999999993</v>
      </c>
      <c r="H149" s="35">
        <v>9.23</v>
      </c>
    </row>
    <row r="150" spans="2:8" x14ac:dyDescent="0.35">
      <c r="B150" s="42">
        <v>44986</v>
      </c>
      <c r="C150" s="49">
        <v>9.0399999999999991</v>
      </c>
      <c r="D150" s="24">
        <v>7.57</v>
      </c>
      <c r="E150" s="24">
        <v>6.75</v>
      </c>
      <c r="F150" s="24">
        <v>8.34</v>
      </c>
      <c r="G150" s="9">
        <v>9.77</v>
      </c>
      <c r="H150" s="35">
        <v>9.19</v>
      </c>
    </row>
    <row r="151" spans="2:8" x14ac:dyDescent="0.35">
      <c r="B151" s="42">
        <v>45017</v>
      </c>
      <c r="C151" s="49">
        <v>7.71</v>
      </c>
      <c r="D151" s="24">
        <v>6.96</v>
      </c>
      <c r="E151" s="24">
        <v>5.57</v>
      </c>
      <c r="F151" s="24">
        <v>7.24</v>
      </c>
      <c r="G151" s="9">
        <v>8.35</v>
      </c>
      <c r="H151" s="35">
        <v>7.9</v>
      </c>
    </row>
    <row r="152" spans="2:8" x14ac:dyDescent="0.35">
      <c r="B152" s="42">
        <v>45047</v>
      </c>
      <c r="C152" s="49">
        <v>7.81</v>
      </c>
      <c r="D152" s="24">
        <v>7.02</v>
      </c>
      <c r="E152" s="24">
        <v>5.75</v>
      </c>
      <c r="F152" s="24">
        <v>7.34</v>
      </c>
      <c r="G152" s="9">
        <v>8.5</v>
      </c>
      <c r="H152" s="35">
        <v>8.0299999999999994</v>
      </c>
    </row>
    <row r="153" spans="2:8" x14ac:dyDescent="0.35">
      <c r="B153" s="42">
        <v>45078</v>
      </c>
      <c r="C153" s="49">
        <v>7.66</v>
      </c>
      <c r="D153" s="24">
        <v>6.67</v>
      </c>
      <c r="E153" s="24">
        <v>5.5</v>
      </c>
      <c r="F153" s="24">
        <v>7.12</v>
      </c>
      <c r="G153" s="9">
        <v>8.41</v>
      </c>
      <c r="H153" s="35">
        <v>7.88</v>
      </c>
    </row>
    <row r="154" spans="2:8" x14ac:dyDescent="0.35">
      <c r="B154" s="42">
        <v>45108</v>
      </c>
      <c r="C154" s="49">
        <v>6.73</v>
      </c>
      <c r="D154" s="24">
        <v>6</v>
      </c>
      <c r="E154" s="24">
        <v>5.38</v>
      </c>
      <c r="F154" s="24">
        <v>6.36</v>
      </c>
      <c r="G154" s="9">
        <v>7.91</v>
      </c>
      <c r="H154" s="35">
        <v>7.28</v>
      </c>
    </row>
    <row r="155" spans="2:8" x14ac:dyDescent="0.35">
      <c r="B155" s="42">
        <v>45139</v>
      </c>
      <c r="C155" s="49">
        <v>6.1</v>
      </c>
      <c r="D155" s="24">
        <v>5.75</v>
      </c>
      <c r="E155" s="24">
        <v>5.16</v>
      </c>
      <c r="F155" s="24">
        <v>5.89</v>
      </c>
      <c r="G155" s="9">
        <v>7.29</v>
      </c>
      <c r="H155" s="35">
        <v>6.73</v>
      </c>
    </row>
    <row r="156" spans="2:8" x14ac:dyDescent="0.35">
      <c r="B156" s="42">
        <v>45170</v>
      </c>
      <c r="C156" s="49">
        <v>6.3</v>
      </c>
      <c r="D156" s="24">
        <v>5.76</v>
      </c>
      <c r="E156" s="24">
        <v>5.42</v>
      </c>
      <c r="F156" s="24">
        <v>6.04</v>
      </c>
      <c r="G156" s="9">
        <v>7.29</v>
      </c>
      <c r="H156" s="35">
        <v>6.78</v>
      </c>
    </row>
    <row r="157" spans="2:8" x14ac:dyDescent="0.35">
      <c r="B157" s="42">
        <v>45200</v>
      </c>
      <c r="C157" s="49">
        <v>6.68</v>
      </c>
      <c r="D157" s="24">
        <v>5.85</v>
      </c>
      <c r="E157" s="24">
        <v>6.25</v>
      </c>
      <c r="F157" s="24">
        <v>6.38</v>
      </c>
      <c r="G157" s="9">
        <v>7.29</v>
      </c>
      <c r="H157" s="35">
        <v>6.92</v>
      </c>
    </row>
    <row r="158" spans="2:8" x14ac:dyDescent="0.35">
      <c r="B158" s="42">
        <v>45231</v>
      </c>
      <c r="C158" s="49">
        <v>6.49</v>
      </c>
      <c r="D158" s="24">
        <v>5.87</v>
      </c>
      <c r="E158" s="24">
        <v>6.39</v>
      </c>
      <c r="F158" s="24">
        <v>6.29</v>
      </c>
      <c r="G158" s="9">
        <v>7.14</v>
      </c>
      <c r="H158" s="35">
        <v>6.8</v>
      </c>
    </row>
    <row r="159" spans="2:8" x14ac:dyDescent="0.35">
      <c r="B159" s="107">
        <v>45261</v>
      </c>
      <c r="C159" s="9">
        <v>6.35</v>
      </c>
      <c r="D159" s="24">
        <v>6.16</v>
      </c>
      <c r="E159" s="24">
        <v>6.62</v>
      </c>
      <c r="F159" s="24">
        <v>6.32</v>
      </c>
      <c r="G159" s="9">
        <v>6.84</v>
      </c>
      <c r="H159" s="35">
        <v>6.63</v>
      </c>
    </row>
    <row r="160" spans="2:8" x14ac:dyDescent="0.35">
      <c r="B160" s="107">
        <v>45292</v>
      </c>
      <c r="C160" s="9">
        <v>6.27</v>
      </c>
      <c r="D160" s="24">
        <v>6.73</v>
      </c>
      <c r="E160" s="24">
        <v>6.82</v>
      </c>
      <c r="F160" s="24">
        <v>6.47</v>
      </c>
      <c r="G160" s="9">
        <v>7.11</v>
      </c>
      <c r="H160" s="35">
        <v>6.85</v>
      </c>
    </row>
    <row r="161" spans="2:8" x14ac:dyDescent="0.35">
      <c r="B161" s="107">
        <v>45323</v>
      </c>
      <c r="C161" s="24">
        <v>5.72</v>
      </c>
      <c r="D161" s="24">
        <v>6.73</v>
      </c>
      <c r="E161" s="24">
        <v>6.82</v>
      </c>
      <c r="F161" s="24">
        <v>6.15</v>
      </c>
      <c r="G161" s="24">
        <v>6.42</v>
      </c>
      <c r="H161" s="43">
        <v>6.31</v>
      </c>
    </row>
    <row r="162" spans="2:8" x14ac:dyDescent="0.35">
      <c r="B162" s="107">
        <v>45352</v>
      </c>
      <c r="C162" s="24">
        <v>5.25</v>
      </c>
      <c r="D162" s="24">
        <v>6.33</v>
      </c>
      <c r="E162" s="24">
        <v>6.53</v>
      </c>
      <c r="F162" s="24">
        <v>5.72</v>
      </c>
      <c r="G162" s="24">
        <v>5.69</v>
      </c>
      <c r="H162" s="43">
        <v>5.7</v>
      </c>
    </row>
    <row r="163" spans="2:8" x14ac:dyDescent="0.35">
      <c r="B163" s="107">
        <v>45383</v>
      </c>
      <c r="C163" s="24">
        <v>4.57</v>
      </c>
      <c r="D163" s="24">
        <v>5.35</v>
      </c>
      <c r="E163" s="24">
        <v>6.11</v>
      </c>
      <c r="F163" s="24">
        <v>4.97</v>
      </c>
      <c r="G163" s="24">
        <v>4.99</v>
      </c>
      <c r="H163" s="43">
        <v>4.99</v>
      </c>
    </row>
    <row r="164" spans="2:8" x14ac:dyDescent="0.35">
      <c r="B164" s="107">
        <v>45413</v>
      </c>
      <c r="C164" s="24">
        <v>4.74</v>
      </c>
      <c r="D164" s="24">
        <v>5.35</v>
      </c>
      <c r="E164" s="24">
        <v>5.71</v>
      </c>
      <c r="F164" s="24">
        <v>5.03</v>
      </c>
      <c r="G164" s="24">
        <v>4.95</v>
      </c>
      <c r="H164" s="43">
        <v>4.9800000000000004</v>
      </c>
    </row>
    <row r="165" spans="2:8" x14ac:dyDescent="0.35">
      <c r="B165" s="107">
        <v>45444</v>
      </c>
      <c r="C165" s="24">
        <v>4.29</v>
      </c>
      <c r="D165" s="24">
        <v>5.17</v>
      </c>
      <c r="E165" s="24">
        <v>5.41</v>
      </c>
      <c r="F165" s="24">
        <v>4.68</v>
      </c>
      <c r="G165" s="24">
        <v>4.6100000000000003</v>
      </c>
      <c r="H165" s="43">
        <v>4.6399999999999997</v>
      </c>
    </row>
    <row r="166" spans="2:8" x14ac:dyDescent="0.35">
      <c r="B166" s="107">
        <v>45474</v>
      </c>
      <c r="C166" s="24">
        <v>4.04</v>
      </c>
      <c r="D166" s="24">
        <v>4.88</v>
      </c>
      <c r="E166" s="24">
        <v>4.9400000000000004</v>
      </c>
      <c r="F166" s="24">
        <v>4.4000000000000004</v>
      </c>
      <c r="G166" s="24">
        <v>4.25</v>
      </c>
      <c r="H166" s="43">
        <v>4.3099999999999996</v>
      </c>
    </row>
    <row r="167" spans="2:8" x14ac:dyDescent="0.35">
      <c r="B167" s="107">
        <v>45505</v>
      </c>
      <c r="C167" s="24">
        <v>4.26</v>
      </c>
      <c r="D167" s="24">
        <v>4.95</v>
      </c>
      <c r="E167" s="24">
        <v>4.78</v>
      </c>
      <c r="F167" s="24">
        <v>4.5199999999999996</v>
      </c>
      <c r="G167" s="24">
        <v>4.25</v>
      </c>
      <c r="H167" s="43">
        <v>4.3600000000000003</v>
      </c>
    </row>
    <row r="168" spans="2:8" x14ac:dyDescent="0.35">
      <c r="B168" s="107">
        <v>45536</v>
      </c>
      <c r="C168" s="24">
        <v>3.41</v>
      </c>
      <c r="D168" s="24">
        <v>4.08</v>
      </c>
      <c r="E168" s="24">
        <v>3.46</v>
      </c>
      <c r="F168" s="24">
        <v>3.62</v>
      </c>
      <c r="G168" s="24">
        <v>3.51</v>
      </c>
      <c r="H168" s="43">
        <v>3.56</v>
      </c>
    </row>
    <row r="169" spans="2:8" x14ac:dyDescent="0.35">
      <c r="B169" s="107">
        <v>45566</v>
      </c>
      <c r="C169" s="24">
        <v>2.36</v>
      </c>
      <c r="D169" s="24">
        <v>3.94</v>
      </c>
      <c r="E169" s="24">
        <v>2.63</v>
      </c>
      <c r="F169" s="24">
        <v>2.87</v>
      </c>
      <c r="G169" s="24">
        <v>2.63</v>
      </c>
      <c r="H169" s="24">
        <v>2.72</v>
      </c>
    </row>
    <row r="170" spans="2:8" x14ac:dyDescent="0.35">
      <c r="B170" s="107">
        <v>45597</v>
      </c>
      <c r="C170" s="24">
        <v>2.46</v>
      </c>
      <c r="D170" s="24">
        <v>4.16</v>
      </c>
      <c r="E170" s="24">
        <v>2.68</v>
      </c>
      <c r="F170" s="24">
        <v>3</v>
      </c>
      <c r="G170" s="24">
        <v>2.59</v>
      </c>
      <c r="H170" s="24">
        <v>2.75</v>
      </c>
    </row>
    <row r="171" spans="2:8" x14ac:dyDescent="0.35">
      <c r="B171" s="107">
        <v>45627</v>
      </c>
      <c r="C171" s="24">
        <v>3.15</v>
      </c>
      <c r="D171" s="24">
        <v>3.88</v>
      </c>
      <c r="E171" s="24">
        <v>2.4300000000000002</v>
      </c>
      <c r="F171" s="24">
        <v>3.29</v>
      </c>
      <c r="G171" s="24">
        <v>2.79</v>
      </c>
      <c r="H171" s="24">
        <v>2.99</v>
      </c>
    </row>
    <row r="172" spans="2:8" x14ac:dyDescent="0.35">
      <c r="B172" s="107">
        <v>45658</v>
      </c>
      <c r="C172" s="24">
        <v>3.86</v>
      </c>
      <c r="D172" s="24">
        <v>3.82</v>
      </c>
      <c r="E172" s="24">
        <v>2.38</v>
      </c>
      <c r="F172" s="24">
        <v>3.68</v>
      </c>
      <c r="G172" s="24">
        <v>3.01</v>
      </c>
      <c r="H172" s="24">
        <v>3.28</v>
      </c>
    </row>
    <row r="173" spans="2:8" x14ac:dyDescent="0.35">
      <c r="B173" s="107">
        <v>45689</v>
      </c>
      <c r="C173" s="24">
        <v>3.88</v>
      </c>
      <c r="D173" s="24">
        <v>3.93</v>
      </c>
      <c r="E173" s="24">
        <v>2.67</v>
      </c>
      <c r="F173" s="24">
        <v>3.76</v>
      </c>
      <c r="G173" s="24">
        <v>3.24</v>
      </c>
      <c r="H173" s="24">
        <v>3.45</v>
      </c>
    </row>
    <row r="174" spans="2:8" x14ac:dyDescent="0.35">
      <c r="B174" s="107">
        <v>45717</v>
      </c>
      <c r="C174" s="24">
        <v>3.9</v>
      </c>
      <c r="D174" s="24">
        <v>4.22</v>
      </c>
      <c r="E174" s="24">
        <v>3.05</v>
      </c>
      <c r="F174" s="24">
        <v>3.91</v>
      </c>
      <c r="G174" s="24">
        <v>3.43</v>
      </c>
      <c r="H174" s="24">
        <v>3.62</v>
      </c>
    </row>
    <row r="175" spans="2:8" x14ac:dyDescent="0.35">
      <c r="B175" s="107">
        <v>45748</v>
      </c>
      <c r="C175" s="24">
        <v>4.3499999999999996</v>
      </c>
      <c r="D175" s="24">
        <v>4.7300000000000004</v>
      </c>
      <c r="E175" s="24">
        <v>3.46</v>
      </c>
      <c r="F175" s="24">
        <v>4.37</v>
      </c>
      <c r="G175" s="24">
        <v>3.93</v>
      </c>
      <c r="H175" s="24">
        <v>4.1100000000000003</v>
      </c>
    </row>
    <row r="176" spans="2:8" x14ac:dyDescent="0.35">
      <c r="B176" s="107">
        <v>45778</v>
      </c>
      <c r="C176" s="24">
        <v>3.63</v>
      </c>
      <c r="D176" s="24">
        <v>5.16</v>
      </c>
      <c r="E176" s="24">
        <v>3.33</v>
      </c>
      <c r="F176" s="24">
        <v>4.07</v>
      </c>
      <c r="G176" s="24">
        <v>3.54</v>
      </c>
      <c r="H176" s="24">
        <v>3.75</v>
      </c>
    </row>
    <row r="177" spans="2:8" x14ac:dyDescent="0.35">
      <c r="B177" s="107">
        <v>45809</v>
      </c>
      <c r="C177" s="24">
        <v>3.88</v>
      </c>
      <c r="D177" s="24">
        <v>5.13</v>
      </c>
      <c r="E177" s="24">
        <v>3.59</v>
      </c>
      <c r="F177" s="24">
        <v>4.2300000000000004</v>
      </c>
      <c r="G177" s="24">
        <v>3.54</v>
      </c>
      <c r="H177" s="24">
        <v>3.82</v>
      </c>
    </row>
    <row r="178" spans="2:8" x14ac:dyDescent="0.35">
      <c r="B178" s="107">
        <v>45839</v>
      </c>
      <c r="C178" s="24">
        <v>4.37</v>
      </c>
      <c r="D178" s="24">
        <v>5.59</v>
      </c>
      <c r="E178" s="24">
        <v>4.3600000000000003</v>
      </c>
      <c r="F178" s="24">
        <v>4.74</v>
      </c>
      <c r="G178" s="24">
        <v>3.75</v>
      </c>
      <c r="H178" s="24">
        <v>4.1500000000000004</v>
      </c>
    </row>
    <row r="179" spans="2:8" x14ac:dyDescent="0.35">
      <c r="B179" s="107">
        <v>45870</v>
      </c>
      <c r="C179" s="24">
        <v>4.79</v>
      </c>
      <c r="D179" s="24">
        <v>5.45</v>
      </c>
      <c r="E179" s="24">
        <v>4.6500000000000004</v>
      </c>
      <c r="F179" s="24">
        <v>4.9800000000000004</v>
      </c>
      <c r="G179" s="24">
        <v>4.2300000000000004</v>
      </c>
      <c r="H179" s="24">
        <v>4.53</v>
      </c>
    </row>
    <row r="180" spans="2:8" x14ac:dyDescent="0.35">
      <c r="B180" s="107">
        <v>45901</v>
      </c>
      <c r="C180" s="24">
        <v>4.8</v>
      </c>
      <c r="D180" s="24">
        <v>5.39</v>
      </c>
      <c r="E180" s="24">
        <v>4.5</v>
      </c>
      <c r="F180" s="24">
        <v>4.95</v>
      </c>
      <c r="G180" s="24">
        <v>4.33</v>
      </c>
      <c r="H180" s="24">
        <v>4.58</v>
      </c>
    </row>
    <row r="181" spans="2:8" x14ac:dyDescent="0.35">
      <c r="B181" s="107">
        <v>45931</v>
      </c>
      <c r="C181" s="24">
        <v>4.91</v>
      </c>
      <c r="D181" s="24">
        <v>4.9400000000000004</v>
      </c>
      <c r="E181" s="24">
        <v>4.5599999999999996</v>
      </c>
      <c r="F181" s="24">
        <v>4.88</v>
      </c>
      <c r="G181" s="24">
        <v>4.3499999999999996</v>
      </c>
      <c r="H181" s="24">
        <v>4.5599999999999996</v>
      </c>
    </row>
    <row r="182" spans="2:8" x14ac:dyDescent="0.35">
      <c r="B182" s="107">
        <v>45962</v>
      </c>
      <c r="C182" s="24">
        <v>4.7</v>
      </c>
      <c r="D182" s="24">
        <v>4.76</v>
      </c>
      <c r="E182" s="24">
        <v>4.76</v>
      </c>
      <c r="F182" s="24">
        <v>4.7300000000000004</v>
      </c>
      <c r="G182" s="24">
        <v>4.28</v>
      </c>
      <c r="H182" s="24">
        <v>4.46</v>
      </c>
    </row>
    <row r="183" spans="2:8" x14ac:dyDescent="0.35">
      <c r="B183" s="107">
        <v>45992</v>
      </c>
      <c r="C183" s="24">
        <v>4.5999999999999996</v>
      </c>
      <c r="D183" s="24">
        <v>5.21</v>
      </c>
      <c r="E183" s="24">
        <v>5.52</v>
      </c>
      <c r="F183" s="24">
        <v>4.8899999999999997</v>
      </c>
      <c r="G183" s="24">
        <v>4.22</v>
      </c>
      <c r="H183" s="24">
        <v>4.49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AF83-9937-4BE3-B87E-0F9415189EF1}">
  <dimension ref="B1:I95"/>
  <sheetViews>
    <sheetView topLeftCell="A84" workbookViewId="0">
      <selection activeCell="F101" sqref="F101"/>
    </sheetView>
  </sheetViews>
  <sheetFormatPr defaultRowHeight="14.5" x14ac:dyDescent="0.35"/>
  <sheetData>
    <row r="1" spans="2:9" s="1" customFormat="1" ht="11.5" x14ac:dyDescent="0.25"/>
    <row r="2" spans="2:9" s="1" customFormat="1" ht="11.5" x14ac:dyDescent="0.25"/>
    <row r="3" spans="2:9" s="1" customFormat="1" ht="11.5" x14ac:dyDescent="0.25">
      <c r="B3" s="56" t="s">
        <v>86</v>
      </c>
      <c r="C3" s="53" t="s">
        <v>24</v>
      </c>
      <c r="D3" s="53" t="s">
        <v>80</v>
      </c>
      <c r="E3" s="53" t="s">
        <v>29</v>
      </c>
      <c r="F3" s="53" t="s">
        <v>30</v>
      </c>
      <c r="G3" s="54" t="s">
        <v>31</v>
      </c>
      <c r="H3" s="24"/>
      <c r="I3" s="24"/>
    </row>
    <row r="4" spans="2:9" s="1" customFormat="1" ht="11.5" x14ac:dyDescent="0.25">
      <c r="B4" s="19"/>
      <c r="C4" s="22" t="s">
        <v>25</v>
      </c>
      <c r="D4" s="22" t="s">
        <v>28</v>
      </c>
      <c r="E4" s="24"/>
      <c r="F4" s="22" t="s">
        <v>25</v>
      </c>
      <c r="G4" s="46" t="s">
        <v>32</v>
      </c>
      <c r="H4" s="24"/>
      <c r="I4" s="24"/>
    </row>
    <row r="5" spans="2:9" s="1" customFormat="1" ht="11.5" x14ac:dyDescent="0.25">
      <c r="B5" s="19"/>
      <c r="C5" s="22" t="s">
        <v>26</v>
      </c>
      <c r="D5" s="24"/>
      <c r="E5" s="22" t="s">
        <v>25</v>
      </c>
      <c r="F5" s="24"/>
      <c r="G5" s="43"/>
      <c r="H5" s="24"/>
      <c r="I5" s="24"/>
    </row>
    <row r="6" spans="2:9" s="1" customFormat="1" ht="11.5" x14ac:dyDescent="0.25">
      <c r="B6" s="20"/>
      <c r="C6" s="48" t="s">
        <v>27</v>
      </c>
      <c r="D6" s="45"/>
      <c r="E6" s="45"/>
      <c r="F6" s="45"/>
      <c r="G6" s="55"/>
      <c r="H6" s="24"/>
      <c r="I6" s="24"/>
    </row>
    <row r="7" spans="2:9" s="1" customFormat="1" ht="11.5" x14ac:dyDescent="0.25">
      <c r="B7" s="57">
        <v>38930</v>
      </c>
      <c r="C7" s="40">
        <v>5.96</v>
      </c>
      <c r="D7" s="40">
        <v>13.64</v>
      </c>
      <c r="E7" s="40">
        <v>13.43</v>
      </c>
      <c r="F7" s="40">
        <v>5.66</v>
      </c>
      <c r="G7" s="41">
        <v>1.41</v>
      </c>
      <c r="H7" s="24"/>
      <c r="I7" s="24"/>
    </row>
    <row r="8" spans="2:9" s="1" customFormat="1" ht="11.5" x14ac:dyDescent="0.25">
      <c r="B8" s="58">
        <v>38961</v>
      </c>
      <c r="C8" s="9">
        <v>6.45</v>
      </c>
      <c r="D8" s="9">
        <v>13.54</v>
      </c>
      <c r="E8" s="9">
        <v>13.42</v>
      </c>
      <c r="F8" s="9">
        <v>6.02</v>
      </c>
      <c r="G8" s="35">
        <v>1.36</v>
      </c>
      <c r="H8" s="24"/>
      <c r="I8" s="24"/>
    </row>
    <row r="9" spans="2:9" s="1" customFormat="1" ht="11.5" x14ac:dyDescent="0.25">
      <c r="B9" s="58">
        <v>38991</v>
      </c>
      <c r="C9" s="9">
        <v>6.83</v>
      </c>
      <c r="D9" s="9">
        <v>14.01</v>
      </c>
      <c r="E9" s="9">
        <v>13.94</v>
      </c>
      <c r="F9" s="9">
        <v>6.07</v>
      </c>
      <c r="G9" s="35">
        <v>1.35</v>
      </c>
      <c r="H9" s="24"/>
      <c r="I9" s="24"/>
    </row>
    <row r="10" spans="2:9" s="1" customFormat="1" ht="11.5" x14ac:dyDescent="0.25">
      <c r="B10" s="58">
        <v>39022</v>
      </c>
      <c r="C10" s="9">
        <v>6.41</v>
      </c>
      <c r="D10" s="9">
        <v>13.93</v>
      </c>
      <c r="E10" s="9">
        <v>13.96</v>
      </c>
      <c r="F10" s="9">
        <v>6.18</v>
      </c>
      <c r="G10" s="35">
        <v>1.37</v>
      </c>
      <c r="H10" s="24"/>
      <c r="I10" s="24"/>
    </row>
    <row r="11" spans="2:9" s="1" customFormat="1" ht="11.5" x14ac:dyDescent="0.25">
      <c r="B11" s="58">
        <v>39052</v>
      </c>
      <c r="C11" s="9">
        <v>5.73</v>
      </c>
      <c r="D11" s="9">
        <v>13.74</v>
      </c>
      <c r="E11" s="9">
        <v>13.91</v>
      </c>
      <c r="F11" s="9">
        <v>6.34</v>
      </c>
      <c r="G11" s="35">
        <v>1.35</v>
      </c>
      <c r="H11" s="24"/>
      <c r="I11" s="24"/>
    </row>
    <row r="12" spans="2:9" s="1" customFormat="1" ht="11.5" x14ac:dyDescent="0.25">
      <c r="B12" s="58">
        <v>39083</v>
      </c>
      <c r="C12" s="9">
        <v>6</v>
      </c>
      <c r="D12" s="9">
        <v>13.78</v>
      </c>
      <c r="E12" s="9">
        <v>14.11</v>
      </c>
      <c r="F12" s="9">
        <v>6.44</v>
      </c>
      <c r="G12" s="35">
        <v>1.42</v>
      </c>
      <c r="H12" s="24"/>
      <c r="I12" s="24"/>
    </row>
    <row r="13" spans="2:9" s="1" customFormat="1" ht="11.5" x14ac:dyDescent="0.25">
      <c r="B13" s="58">
        <v>39114</v>
      </c>
      <c r="C13" s="9">
        <v>6.22</v>
      </c>
      <c r="D13" s="9">
        <v>13.64</v>
      </c>
      <c r="E13" s="9">
        <v>14.05</v>
      </c>
      <c r="F13" s="9">
        <v>6.52</v>
      </c>
      <c r="G13" s="35">
        <v>1.41</v>
      </c>
      <c r="H13" s="24"/>
      <c r="I13" s="24"/>
    </row>
    <row r="14" spans="2:9" s="1" customFormat="1" ht="11.5" x14ac:dyDescent="0.25">
      <c r="B14" s="58">
        <v>39142</v>
      </c>
      <c r="C14" s="9">
        <v>6.32</v>
      </c>
      <c r="D14" s="9">
        <v>13.56</v>
      </c>
      <c r="E14" s="9">
        <v>13.95</v>
      </c>
      <c r="F14" s="9">
        <v>6.55</v>
      </c>
      <c r="G14" s="35">
        <v>1.43</v>
      </c>
      <c r="H14" s="24"/>
      <c r="I14" s="24"/>
    </row>
    <row r="15" spans="2:9" s="1" customFormat="1" ht="11.5" x14ac:dyDescent="0.25">
      <c r="B15" s="58">
        <v>39173</v>
      </c>
      <c r="C15" s="9">
        <v>6.65</v>
      </c>
      <c r="D15" s="9">
        <v>13.44</v>
      </c>
      <c r="E15" s="9">
        <v>13.58</v>
      </c>
      <c r="F15" s="9">
        <v>6.81</v>
      </c>
      <c r="G15" s="35">
        <v>1.35</v>
      </c>
      <c r="H15" s="24"/>
      <c r="I15" s="24"/>
    </row>
    <row r="16" spans="2:9" s="1" customFormat="1" ht="11.5" x14ac:dyDescent="0.25">
      <c r="B16" s="58">
        <v>39203</v>
      </c>
      <c r="C16" s="9">
        <v>6.77</v>
      </c>
      <c r="D16" s="9">
        <v>13.38</v>
      </c>
      <c r="E16" s="9">
        <v>13.35</v>
      </c>
      <c r="F16" s="9">
        <v>7.11</v>
      </c>
      <c r="G16" s="35">
        <v>1.57</v>
      </c>
      <c r="H16" s="24"/>
      <c r="I16" s="24"/>
    </row>
    <row r="17" spans="2:9" s="1" customFormat="1" ht="11.5" x14ac:dyDescent="0.25">
      <c r="B17" s="58">
        <v>39234</v>
      </c>
      <c r="C17" s="9">
        <v>6.53</v>
      </c>
      <c r="D17" s="9">
        <v>13.14</v>
      </c>
      <c r="E17" s="9">
        <v>13.2</v>
      </c>
      <c r="F17" s="9">
        <v>6.98</v>
      </c>
      <c r="G17" s="35">
        <v>1.54</v>
      </c>
      <c r="H17" s="24"/>
      <c r="I17" s="24"/>
    </row>
    <row r="18" spans="2:9" s="1" customFormat="1" ht="11.5" x14ac:dyDescent="0.25">
      <c r="B18" s="58">
        <v>39264</v>
      </c>
      <c r="C18" s="9">
        <v>6.52</v>
      </c>
      <c r="D18" s="9">
        <v>13.29</v>
      </c>
      <c r="E18" s="9">
        <v>13.34</v>
      </c>
      <c r="F18" s="9">
        <v>7.07</v>
      </c>
      <c r="G18" s="35">
        <v>1.65</v>
      </c>
      <c r="H18" s="24"/>
      <c r="I18" s="24"/>
    </row>
    <row r="19" spans="2:9" s="1" customFormat="1" ht="11.5" x14ac:dyDescent="0.25">
      <c r="B19" s="58">
        <v>39295</v>
      </c>
      <c r="C19" s="9">
        <v>7.3</v>
      </c>
      <c r="D19" s="9">
        <v>13.04</v>
      </c>
      <c r="E19" s="9">
        <v>13.39</v>
      </c>
      <c r="F19" s="9">
        <v>7.38</v>
      </c>
      <c r="G19" s="35">
        <v>1.6</v>
      </c>
      <c r="H19" s="24"/>
      <c r="I19" s="24"/>
    </row>
    <row r="20" spans="2:9" s="1" customFormat="1" ht="11.5" x14ac:dyDescent="0.25">
      <c r="B20" s="58">
        <v>39326</v>
      </c>
      <c r="C20" s="9">
        <v>7.35</v>
      </c>
      <c r="D20" s="9">
        <v>12.87</v>
      </c>
      <c r="E20" s="9">
        <v>13.26</v>
      </c>
      <c r="F20" s="9">
        <v>7.59</v>
      </c>
      <c r="G20" s="35">
        <v>1.67</v>
      </c>
      <c r="H20" s="24"/>
      <c r="I20" s="24"/>
    </row>
    <row r="21" spans="2:9" s="1" customFormat="1" ht="11.5" x14ac:dyDescent="0.25">
      <c r="B21" s="58">
        <v>39356</v>
      </c>
      <c r="C21" s="9">
        <v>7.55</v>
      </c>
      <c r="D21" s="9">
        <v>13.24</v>
      </c>
      <c r="E21" s="9">
        <v>13.29</v>
      </c>
      <c r="F21" s="9">
        <v>7.65</v>
      </c>
      <c r="G21" s="35">
        <v>1.64</v>
      </c>
      <c r="H21" s="24"/>
      <c r="I21" s="24"/>
    </row>
    <row r="22" spans="2:9" s="1" customFormat="1" ht="11.5" x14ac:dyDescent="0.25">
      <c r="B22" s="58">
        <v>39387</v>
      </c>
      <c r="C22" s="9">
        <v>7.52</v>
      </c>
      <c r="D22" s="9">
        <v>13.39</v>
      </c>
      <c r="E22" s="9">
        <v>13.43</v>
      </c>
      <c r="F22" s="9">
        <v>6.5</v>
      </c>
      <c r="G22" s="35">
        <v>1.65</v>
      </c>
      <c r="H22" s="24"/>
      <c r="I22" s="24"/>
    </row>
    <row r="23" spans="2:9" s="1" customFormat="1" ht="11.5" x14ac:dyDescent="0.25">
      <c r="B23" s="58">
        <v>39417</v>
      </c>
      <c r="C23" s="9">
        <v>6.86</v>
      </c>
      <c r="D23" s="9">
        <v>13.32</v>
      </c>
      <c r="E23" s="9">
        <v>12.96</v>
      </c>
      <c r="F23" s="9">
        <v>7.05</v>
      </c>
      <c r="G23" s="35">
        <v>1.67</v>
      </c>
      <c r="H23" s="24"/>
      <c r="I23" s="24"/>
    </row>
    <row r="24" spans="2:9" s="1" customFormat="1" ht="11.5" x14ac:dyDescent="0.25">
      <c r="B24" s="58">
        <v>39448</v>
      </c>
      <c r="C24" s="9">
        <v>6.99</v>
      </c>
      <c r="D24" s="9">
        <v>13.78</v>
      </c>
      <c r="E24" s="9">
        <v>13.41</v>
      </c>
      <c r="F24" s="9">
        <v>7.61</v>
      </c>
      <c r="G24" s="35">
        <v>1.72</v>
      </c>
      <c r="H24" s="24"/>
      <c r="I24" s="24"/>
    </row>
    <row r="25" spans="2:9" s="1" customFormat="1" ht="11.5" x14ac:dyDescent="0.25">
      <c r="B25" s="58">
        <v>39479</v>
      </c>
      <c r="C25" s="9">
        <v>7.28</v>
      </c>
      <c r="D25" s="9">
        <v>13.84</v>
      </c>
      <c r="E25" s="9">
        <v>13.26</v>
      </c>
      <c r="F25" s="9">
        <v>7.21</v>
      </c>
      <c r="G25" s="35">
        <v>1.7</v>
      </c>
      <c r="H25" s="24"/>
      <c r="I25" s="24"/>
    </row>
    <row r="26" spans="2:9" s="1" customFormat="1" ht="11.5" x14ac:dyDescent="0.25">
      <c r="B26" s="58">
        <v>39508</v>
      </c>
      <c r="C26" s="9">
        <v>6.89</v>
      </c>
      <c r="D26" s="9">
        <v>14.06</v>
      </c>
      <c r="E26" s="9">
        <v>13.48</v>
      </c>
      <c r="F26" s="9">
        <v>6.35</v>
      </c>
      <c r="G26" s="35">
        <v>1.72</v>
      </c>
      <c r="H26" s="24"/>
      <c r="I26" s="24"/>
    </row>
    <row r="27" spans="2:9" s="1" customFormat="1" ht="11.5" x14ac:dyDescent="0.25">
      <c r="B27" s="58">
        <v>39539</v>
      </c>
      <c r="C27" s="9">
        <v>7.35</v>
      </c>
      <c r="D27" s="9">
        <v>13.91</v>
      </c>
      <c r="E27" s="9">
        <v>13.46</v>
      </c>
      <c r="F27" s="9">
        <v>6.7</v>
      </c>
      <c r="G27" s="35">
        <v>1.71</v>
      </c>
      <c r="H27" s="24"/>
      <c r="I27" s="24"/>
    </row>
    <row r="28" spans="2:9" s="1" customFormat="1" ht="11.5" x14ac:dyDescent="0.25">
      <c r="B28" s="58">
        <v>39569</v>
      </c>
      <c r="C28" s="9">
        <v>7.76</v>
      </c>
      <c r="D28" s="9">
        <v>14.01</v>
      </c>
      <c r="E28" s="9">
        <v>13.53</v>
      </c>
      <c r="F28" s="9">
        <v>7.72</v>
      </c>
      <c r="G28" s="35">
        <v>1.71</v>
      </c>
      <c r="H28" s="24"/>
      <c r="I28" s="24"/>
    </row>
    <row r="29" spans="2:9" s="1" customFormat="1" ht="11.5" x14ac:dyDescent="0.25">
      <c r="B29" s="58">
        <v>39600</v>
      </c>
      <c r="C29" s="9">
        <v>7.73</v>
      </c>
      <c r="D29" s="9">
        <v>14.06</v>
      </c>
      <c r="E29" s="9">
        <v>13.3</v>
      </c>
      <c r="F29" s="9">
        <v>7.77</v>
      </c>
      <c r="G29" s="35">
        <v>1.7</v>
      </c>
      <c r="H29" s="24"/>
      <c r="I29" s="24"/>
    </row>
    <row r="30" spans="2:9" s="1" customFormat="1" ht="11.5" x14ac:dyDescent="0.25">
      <c r="B30" s="58">
        <v>39630</v>
      </c>
      <c r="C30" s="9">
        <v>8.0299999999999994</v>
      </c>
      <c r="D30" s="9">
        <v>13.9</v>
      </c>
      <c r="E30" s="9">
        <v>13.46</v>
      </c>
      <c r="F30" s="9">
        <v>8.06</v>
      </c>
      <c r="G30" s="35">
        <v>1.67</v>
      </c>
      <c r="H30" s="24"/>
      <c r="I30" s="24"/>
    </row>
    <row r="31" spans="2:9" s="1" customFormat="1" ht="11.5" x14ac:dyDescent="0.25">
      <c r="B31" s="58">
        <v>39661</v>
      </c>
      <c r="C31" s="9">
        <v>8.02</v>
      </c>
      <c r="D31" s="9">
        <v>13.66</v>
      </c>
      <c r="E31" s="9">
        <v>13.11</v>
      </c>
      <c r="F31" s="9">
        <v>6.93</v>
      </c>
      <c r="G31" s="35">
        <v>1.68</v>
      </c>
      <c r="H31" s="24"/>
      <c r="I31" s="24"/>
    </row>
    <row r="32" spans="2:9" s="1" customFormat="1" ht="11.5" x14ac:dyDescent="0.25">
      <c r="B32" s="58">
        <v>39692</v>
      </c>
      <c r="C32" s="9">
        <v>7.7</v>
      </c>
      <c r="D32" s="9">
        <v>13.66</v>
      </c>
      <c r="E32" s="9">
        <v>13.43</v>
      </c>
      <c r="F32" s="9">
        <v>6.7</v>
      </c>
      <c r="G32" s="35">
        <v>1.73</v>
      </c>
      <c r="H32" s="24"/>
      <c r="I32" s="24"/>
    </row>
    <row r="33" spans="2:9" s="1" customFormat="1" ht="11.5" x14ac:dyDescent="0.25">
      <c r="B33" s="58">
        <v>39722</v>
      </c>
      <c r="C33" s="9">
        <v>7.75</v>
      </c>
      <c r="D33" s="9">
        <v>14.12</v>
      </c>
      <c r="E33" s="9">
        <v>13.91</v>
      </c>
      <c r="F33" s="9">
        <v>6.81</v>
      </c>
      <c r="G33" s="35">
        <v>1.74</v>
      </c>
      <c r="H33" s="24"/>
      <c r="I33" s="24"/>
    </row>
    <row r="34" spans="2:9" s="1" customFormat="1" ht="11.5" x14ac:dyDescent="0.25">
      <c r="B34" s="58">
        <v>39753</v>
      </c>
      <c r="C34" s="9">
        <v>8.39</v>
      </c>
      <c r="D34" s="9">
        <v>14.33</v>
      </c>
      <c r="E34" s="9">
        <v>13.85</v>
      </c>
      <c r="F34" s="9">
        <v>6.84</v>
      </c>
      <c r="G34" s="35">
        <v>1.61</v>
      </c>
      <c r="H34" s="24"/>
      <c r="I34" s="24"/>
    </row>
    <row r="35" spans="2:9" s="1" customFormat="1" ht="11.5" x14ac:dyDescent="0.25">
      <c r="B35" s="58">
        <v>39783</v>
      </c>
      <c r="C35" s="9">
        <v>8.59</v>
      </c>
      <c r="D35" s="9">
        <v>14.8</v>
      </c>
      <c r="E35" s="9">
        <v>14.4</v>
      </c>
      <c r="F35" s="9">
        <v>6.68</v>
      </c>
      <c r="G35" s="35">
        <v>1.62</v>
      </c>
      <c r="H35" s="24"/>
      <c r="I35" s="24"/>
    </row>
    <row r="36" spans="2:9" s="1" customFormat="1" ht="11.5" x14ac:dyDescent="0.25">
      <c r="B36" s="58">
        <v>39814</v>
      </c>
      <c r="C36" s="9">
        <v>8.4700000000000006</v>
      </c>
      <c r="D36" s="9">
        <v>14.78</v>
      </c>
      <c r="E36" s="9">
        <v>13.84</v>
      </c>
      <c r="F36" s="9">
        <v>5.92</v>
      </c>
      <c r="G36" s="35">
        <v>2.1</v>
      </c>
      <c r="H36" s="24"/>
      <c r="I36" s="24"/>
    </row>
    <row r="37" spans="2:9" s="1" customFormat="1" ht="11.5" x14ac:dyDescent="0.25">
      <c r="B37" s="58">
        <v>39845</v>
      </c>
      <c r="C37" s="9">
        <v>7.55</v>
      </c>
      <c r="D37" s="9">
        <v>14.67</v>
      </c>
      <c r="E37" s="9">
        <v>13.46</v>
      </c>
      <c r="F37" s="9">
        <v>5.49</v>
      </c>
      <c r="G37" s="35">
        <v>2.13</v>
      </c>
      <c r="H37" s="24"/>
      <c r="I37" s="24"/>
    </row>
    <row r="38" spans="2:9" s="1" customFormat="1" ht="11.5" x14ac:dyDescent="0.25">
      <c r="B38" s="58">
        <v>39873</v>
      </c>
      <c r="C38" s="9">
        <v>7.31</v>
      </c>
      <c r="D38" s="9">
        <v>14.87</v>
      </c>
      <c r="E38" s="9">
        <v>13.78</v>
      </c>
      <c r="F38" s="9">
        <v>5.72</v>
      </c>
      <c r="G38" s="35">
        <v>1.9</v>
      </c>
      <c r="H38" s="24"/>
      <c r="I38" s="24"/>
    </row>
    <row r="39" spans="2:9" s="1" customFormat="1" ht="11.5" x14ac:dyDescent="0.25">
      <c r="B39" s="58">
        <v>39904</v>
      </c>
      <c r="C39" s="9">
        <v>7.34</v>
      </c>
      <c r="D39" s="9">
        <v>14.71</v>
      </c>
      <c r="E39" s="9">
        <v>13.66</v>
      </c>
      <c r="F39" s="9">
        <v>5.73</v>
      </c>
      <c r="G39" s="35">
        <v>1.91</v>
      </c>
      <c r="H39" s="24"/>
      <c r="I39" s="24"/>
    </row>
    <row r="40" spans="2:9" s="1" customFormat="1" ht="11.5" x14ac:dyDescent="0.25">
      <c r="B40" s="58">
        <v>39934</v>
      </c>
      <c r="C40" s="9">
        <v>7.45</v>
      </c>
      <c r="D40" s="9">
        <v>14.85</v>
      </c>
      <c r="E40" s="9">
        <v>14.13</v>
      </c>
      <c r="F40" s="9">
        <v>6.55</v>
      </c>
      <c r="G40" s="35">
        <v>1.67</v>
      </c>
      <c r="H40" s="24"/>
      <c r="I40" s="24"/>
    </row>
    <row r="41" spans="2:9" s="1" customFormat="1" ht="11.5" x14ac:dyDescent="0.25">
      <c r="B41" s="58">
        <v>39965</v>
      </c>
      <c r="C41" s="9">
        <v>7.33</v>
      </c>
      <c r="D41" s="9">
        <v>15.09</v>
      </c>
      <c r="E41" s="9">
        <v>14.41</v>
      </c>
      <c r="F41" s="9">
        <v>2.98</v>
      </c>
      <c r="G41" s="35">
        <v>2.08</v>
      </c>
      <c r="H41" s="24"/>
      <c r="I41" s="24"/>
    </row>
    <row r="42" spans="2:9" s="1" customFormat="1" ht="11.5" x14ac:dyDescent="0.25">
      <c r="B42" s="58">
        <v>39995</v>
      </c>
      <c r="C42" s="9">
        <v>7.22</v>
      </c>
      <c r="D42" s="9">
        <v>14.79</v>
      </c>
      <c r="E42" s="9">
        <v>13.94</v>
      </c>
      <c r="F42" s="9">
        <v>2.67</v>
      </c>
      <c r="G42" s="35">
        <v>1.67</v>
      </c>
      <c r="H42" s="24"/>
      <c r="I42" s="24"/>
    </row>
    <row r="43" spans="2:9" s="1" customFormat="1" ht="11.5" x14ac:dyDescent="0.25">
      <c r="B43" s="58">
        <v>40026</v>
      </c>
      <c r="C43" s="9">
        <v>7.25</v>
      </c>
      <c r="D43" s="9">
        <v>14.76</v>
      </c>
      <c r="E43" s="9">
        <v>13.9</v>
      </c>
      <c r="F43" s="9">
        <v>3.68</v>
      </c>
      <c r="G43" s="35">
        <v>1.65</v>
      </c>
      <c r="H43" s="24"/>
      <c r="I43" s="24"/>
    </row>
    <row r="44" spans="2:9" s="1" customFormat="1" ht="11.5" x14ac:dyDescent="0.25">
      <c r="B44" s="58">
        <v>40057</v>
      </c>
      <c r="C44" s="9">
        <v>7.29</v>
      </c>
      <c r="D44" s="9">
        <v>14.74</v>
      </c>
      <c r="E44" s="9">
        <v>13.76</v>
      </c>
      <c r="F44" s="9">
        <v>3.51</v>
      </c>
      <c r="G44" s="35">
        <v>1.65</v>
      </c>
      <c r="H44" s="24"/>
      <c r="I44" s="24"/>
    </row>
    <row r="45" spans="2:9" s="1" customFormat="1" ht="11.5" x14ac:dyDescent="0.25">
      <c r="B45" s="58">
        <v>40087</v>
      </c>
      <c r="C45" s="9">
        <v>7.26</v>
      </c>
      <c r="D45" s="9">
        <v>14.78</v>
      </c>
      <c r="E45" s="9">
        <v>14.03</v>
      </c>
      <c r="F45" s="9">
        <v>2.5299999999999998</v>
      </c>
      <c r="G45" s="35">
        <v>1.85</v>
      </c>
      <c r="H45" s="24"/>
      <c r="I45" s="24"/>
    </row>
    <row r="46" spans="2:9" s="1" customFormat="1" ht="11.5" x14ac:dyDescent="0.25">
      <c r="B46" s="58">
        <v>40118</v>
      </c>
      <c r="C46" s="9">
        <v>7.22</v>
      </c>
      <c r="D46" s="9">
        <v>14.85</v>
      </c>
      <c r="E46" s="9">
        <v>14.24</v>
      </c>
      <c r="F46" s="9">
        <v>3.11</v>
      </c>
      <c r="G46" s="35">
        <v>1.71</v>
      </c>
      <c r="H46" s="24"/>
      <c r="I46" s="24"/>
    </row>
    <row r="47" spans="2:9" s="1" customFormat="1" ht="11.5" x14ac:dyDescent="0.25">
      <c r="B47" s="58">
        <v>40148</v>
      </c>
      <c r="C47" s="9">
        <v>6.82</v>
      </c>
      <c r="D47" s="9">
        <v>14.76</v>
      </c>
      <c r="E47" s="9">
        <v>14.13</v>
      </c>
      <c r="F47" s="9">
        <v>2.94</v>
      </c>
      <c r="G47" s="35">
        <v>1.73</v>
      </c>
      <c r="H47" s="24"/>
      <c r="I47" s="24"/>
    </row>
    <row r="48" spans="2:9" s="1" customFormat="1" ht="11.5" x14ac:dyDescent="0.25">
      <c r="B48" s="58">
        <v>40179</v>
      </c>
      <c r="C48" s="9">
        <v>6.56</v>
      </c>
      <c r="D48" s="9">
        <v>14.98</v>
      </c>
      <c r="E48" s="9">
        <v>14.48</v>
      </c>
      <c r="F48" s="9">
        <v>3.72</v>
      </c>
      <c r="G48" s="35">
        <v>1.75</v>
      </c>
      <c r="H48" s="24"/>
      <c r="I48" s="24"/>
    </row>
    <row r="49" spans="2:9" s="1" customFormat="1" ht="11.5" x14ac:dyDescent="0.25">
      <c r="B49" s="58">
        <v>40210</v>
      </c>
      <c r="C49" s="9">
        <v>6.22</v>
      </c>
      <c r="D49" s="9">
        <v>14.98</v>
      </c>
      <c r="E49" s="9">
        <v>14.25</v>
      </c>
      <c r="F49" s="9">
        <v>2.39</v>
      </c>
      <c r="G49" s="35">
        <v>1.81</v>
      </c>
      <c r="H49" s="24"/>
      <c r="I49" s="24"/>
    </row>
    <row r="50" spans="2:9" s="1" customFormat="1" ht="11.5" x14ac:dyDescent="0.25">
      <c r="B50" s="58">
        <v>40238</v>
      </c>
      <c r="C50" s="9">
        <v>6.1</v>
      </c>
      <c r="D50" s="9">
        <v>14.96</v>
      </c>
      <c r="E50" s="9">
        <v>14.06</v>
      </c>
      <c r="F50" s="9">
        <v>2.2200000000000002</v>
      </c>
      <c r="G50" s="35">
        <v>1.81</v>
      </c>
      <c r="H50" s="24"/>
      <c r="I50" s="24"/>
    </row>
    <row r="51" spans="2:9" s="1" customFormat="1" ht="11.5" x14ac:dyDescent="0.25">
      <c r="B51" s="58">
        <v>40269</v>
      </c>
      <c r="C51" s="9">
        <v>5.17</v>
      </c>
      <c r="D51" s="9">
        <v>14.58</v>
      </c>
      <c r="E51" s="9">
        <v>14.5</v>
      </c>
      <c r="F51" s="9">
        <v>2.46</v>
      </c>
      <c r="G51" s="35">
        <v>1.85</v>
      </c>
      <c r="H51" s="24"/>
      <c r="I51" s="24"/>
    </row>
    <row r="52" spans="2:9" s="1" customFormat="1" ht="11.5" x14ac:dyDescent="0.25">
      <c r="B52" s="58">
        <v>40299</v>
      </c>
      <c r="C52" s="9">
        <v>4.21</v>
      </c>
      <c r="D52" s="9">
        <v>14.44</v>
      </c>
      <c r="E52" s="9">
        <v>14.37</v>
      </c>
      <c r="F52" s="9">
        <v>2.19</v>
      </c>
      <c r="G52" s="35">
        <v>1.79</v>
      </c>
      <c r="H52" s="24"/>
      <c r="I52" s="24"/>
    </row>
    <row r="53" spans="2:9" s="1" customFormat="1" ht="11.5" x14ac:dyDescent="0.25">
      <c r="B53" s="58">
        <v>40330</v>
      </c>
      <c r="C53" s="9">
        <v>2.98</v>
      </c>
      <c r="D53" s="9">
        <v>14.39</v>
      </c>
      <c r="E53" s="9">
        <v>14.23</v>
      </c>
      <c r="F53" s="9">
        <v>1.1399999999999999</v>
      </c>
      <c r="G53" s="35">
        <v>1.75</v>
      </c>
      <c r="H53" s="24"/>
      <c r="I53" s="24"/>
    </row>
    <row r="54" spans="2:9" s="1" customFormat="1" ht="11.5" x14ac:dyDescent="0.25">
      <c r="B54" s="58">
        <v>40360</v>
      </c>
      <c r="C54" s="9">
        <v>1.6</v>
      </c>
      <c r="D54" s="9">
        <v>14.29</v>
      </c>
      <c r="E54" s="9">
        <v>14.03</v>
      </c>
      <c r="F54" s="9">
        <v>1.37</v>
      </c>
      <c r="G54" s="35">
        <v>1.55</v>
      </c>
      <c r="H54" s="24"/>
      <c r="I54" s="24"/>
    </row>
    <row r="55" spans="2:9" s="1" customFormat="1" ht="11.5" x14ac:dyDescent="0.25">
      <c r="B55" s="58">
        <v>40391</v>
      </c>
      <c r="C55" s="9">
        <v>1.83</v>
      </c>
      <c r="D55" s="9">
        <v>14.18</v>
      </c>
      <c r="E55" s="9">
        <v>13.97</v>
      </c>
      <c r="F55" s="9">
        <v>1.68</v>
      </c>
      <c r="G55" s="35">
        <v>1.5</v>
      </c>
      <c r="H55" s="24"/>
      <c r="I55" s="24"/>
    </row>
    <row r="56" spans="2:9" s="1" customFormat="1" ht="11.5" x14ac:dyDescent="0.25">
      <c r="B56" s="58">
        <v>40422</v>
      </c>
      <c r="C56" s="9">
        <v>2.04</v>
      </c>
      <c r="D56" s="9">
        <v>13.98</v>
      </c>
      <c r="E56" s="9">
        <v>13.81</v>
      </c>
      <c r="F56" s="9">
        <v>1.17</v>
      </c>
      <c r="G56" s="35">
        <v>1.47</v>
      </c>
      <c r="H56" s="24"/>
      <c r="I56" s="24"/>
    </row>
    <row r="57" spans="2:9" s="1" customFormat="1" ht="11.5" x14ac:dyDescent="0.25">
      <c r="B57" s="58">
        <v>40452</v>
      </c>
      <c r="C57" s="9">
        <v>2.12</v>
      </c>
      <c r="D57" s="9">
        <v>13.85</v>
      </c>
      <c r="E57" s="9">
        <v>13.64</v>
      </c>
      <c r="F57" s="9">
        <v>0.98</v>
      </c>
      <c r="G57" s="35">
        <v>1.46</v>
      </c>
      <c r="H57" s="24"/>
      <c r="I57" s="24"/>
    </row>
    <row r="58" spans="2:9" s="1" customFormat="1" ht="11.5" x14ac:dyDescent="0.25">
      <c r="B58" s="58">
        <v>40483</v>
      </c>
      <c r="C58" s="9">
        <v>2.21</v>
      </c>
      <c r="D58" s="9">
        <v>13.95</v>
      </c>
      <c r="E58" s="9">
        <v>13.77</v>
      </c>
      <c r="F58" s="9">
        <v>1.05</v>
      </c>
      <c r="G58" s="35">
        <v>1.02</v>
      </c>
      <c r="H58" s="24"/>
      <c r="I58" s="24"/>
    </row>
    <row r="59" spans="2:9" s="1" customFormat="1" ht="11.5" x14ac:dyDescent="0.25">
      <c r="B59" s="58">
        <v>40513</v>
      </c>
      <c r="C59" s="9">
        <v>2.2759999999999998</v>
      </c>
      <c r="D59" s="9">
        <v>13.87</v>
      </c>
      <c r="E59" s="9">
        <v>13.69</v>
      </c>
      <c r="F59" s="9">
        <v>1.1599999999999999</v>
      </c>
      <c r="G59" s="35">
        <v>1.45</v>
      </c>
      <c r="H59" s="24"/>
      <c r="I59" s="24"/>
    </row>
    <row r="60" spans="2:9" s="1" customFormat="1" ht="11.5" x14ac:dyDescent="0.25">
      <c r="B60" s="58">
        <v>40544</v>
      </c>
      <c r="C60" s="9">
        <v>2.44</v>
      </c>
      <c r="D60" s="24">
        <v>14.03</v>
      </c>
      <c r="E60" s="24">
        <v>13.93</v>
      </c>
      <c r="F60" s="24">
        <v>1.24</v>
      </c>
      <c r="G60" s="43">
        <v>1.25</v>
      </c>
      <c r="H60" s="24"/>
      <c r="I60" s="24"/>
    </row>
    <row r="61" spans="2:9" s="1" customFormat="1" ht="11.5" x14ac:dyDescent="0.25">
      <c r="B61" s="58">
        <v>40575</v>
      </c>
      <c r="C61" s="9">
        <v>2.59</v>
      </c>
      <c r="D61" s="24">
        <v>13.2</v>
      </c>
      <c r="E61" s="24">
        <v>13.65</v>
      </c>
      <c r="F61" s="24">
        <v>1.1299999999999999</v>
      </c>
      <c r="G61" s="43">
        <v>1.41</v>
      </c>
      <c r="H61" s="24"/>
      <c r="I61" s="24"/>
    </row>
    <row r="62" spans="2:9" s="1" customFormat="1" ht="11.5" x14ac:dyDescent="0.25">
      <c r="B62" s="58">
        <v>40603</v>
      </c>
      <c r="C62" s="9">
        <v>2.77</v>
      </c>
      <c r="D62" s="24">
        <v>13.69</v>
      </c>
      <c r="E62" s="24">
        <v>13.6</v>
      </c>
      <c r="F62" s="24">
        <v>1.25</v>
      </c>
      <c r="G62" s="43">
        <v>1.37</v>
      </c>
      <c r="H62" s="24"/>
      <c r="I62" s="24"/>
    </row>
    <row r="63" spans="2:9" s="1" customFormat="1" ht="11.5" x14ac:dyDescent="0.25">
      <c r="B63" s="58">
        <v>40634</v>
      </c>
      <c r="C63" s="9">
        <v>3.26</v>
      </c>
      <c r="D63" s="24">
        <v>13.92</v>
      </c>
      <c r="E63" s="24">
        <v>13.68</v>
      </c>
      <c r="F63" s="24">
        <v>4.08</v>
      </c>
      <c r="G63" s="43">
        <v>1.39</v>
      </c>
      <c r="H63" s="24"/>
      <c r="I63" s="24"/>
    </row>
    <row r="64" spans="2:9" s="1" customFormat="1" ht="11.5" x14ac:dyDescent="0.25">
      <c r="B64" s="58">
        <v>40664</v>
      </c>
      <c r="C64" s="9">
        <v>5.35</v>
      </c>
      <c r="D64" s="24">
        <v>13.88</v>
      </c>
      <c r="E64" s="24">
        <v>13.72</v>
      </c>
      <c r="F64" s="24">
        <v>5.56</v>
      </c>
      <c r="G64" s="43">
        <v>1.38</v>
      </c>
      <c r="H64" s="24"/>
      <c r="I64" s="24"/>
    </row>
    <row r="65" spans="2:9" s="1" customFormat="1" ht="11.5" x14ac:dyDescent="0.25">
      <c r="B65" s="58">
        <v>40695</v>
      </c>
      <c r="C65" s="9">
        <v>8.9499999999999993</v>
      </c>
      <c r="D65" s="24">
        <v>13.91</v>
      </c>
      <c r="E65" s="24">
        <v>13.59</v>
      </c>
      <c r="F65" s="24">
        <v>8.3000000000000007</v>
      </c>
      <c r="G65" s="43">
        <v>1.37</v>
      </c>
      <c r="H65" s="24"/>
      <c r="I65" s="24"/>
    </row>
    <row r="66" spans="2:9" s="1" customFormat="1" ht="11.5" x14ac:dyDescent="0.25">
      <c r="B66" s="58">
        <v>40725</v>
      </c>
      <c r="C66" s="9">
        <v>8.99</v>
      </c>
      <c r="D66" s="24">
        <v>14.13</v>
      </c>
      <c r="E66" s="24">
        <v>13.88</v>
      </c>
      <c r="F66" s="24">
        <v>8.5399999999999991</v>
      </c>
      <c r="G66" s="43">
        <v>1.37</v>
      </c>
      <c r="H66" s="24"/>
      <c r="I66" s="24"/>
    </row>
    <row r="67" spans="2:9" s="1" customFormat="1" ht="11.5" x14ac:dyDescent="0.25">
      <c r="B67" s="58">
        <v>40756</v>
      </c>
      <c r="C67" s="9">
        <v>9.23</v>
      </c>
      <c r="D67" s="24">
        <v>14.32</v>
      </c>
      <c r="E67" s="24">
        <v>14.28</v>
      </c>
      <c r="F67" s="24">
        <v>15.55</v>
      </c>
      <c r="G67" s="43">
        <v>1.37</v>
      </c>
      <c r="H67" s="24"/>
      <c r="I67" s="24"/>
    </row>
    <row r="68" spans="2:9" s="1" customFormat="1" ht="11.5" x14ac:dyDescent="0.25">
      <c r="B68" s="58">
        <v>40787</v>
      </c>
      <c r="C68" s="9">
        <v>11.93</v>
      </c>
      <c r="D68" s="24">
        <v>14.79</v>
      </c>
      <c r="E68" s="24">
        <v>14.64</v>
      </c>
      <c r="F68" s="24">
        <v>7.4</v>
      </c>
      <c r="G68" s="43">
        <v>1.34</v>
      </c>
      <c r="H68" s="24"/>
      <c r="I68" s="24"/>
    </row>
    <row r="69" spans="2:9" s="1" customFormat="1" ht="11.5" x14ac:dyDescent="0.25">
      <c r="B69" s="58">
        <v>40817</v>
      </c>
      <c r="C69" s="9">
        <v>14.8</v>
      </c>
      <c r="D69" s="24">
        <v>15.21</v>
      </c>
      <c r="E69" s="24">
        <v>14.87</v>
      </c>
      <c r="F69" s="24">
        <v>14.67</v>
      </c>
      <c r="G69" s="43">
        <v>1.33</v>
      </c>
      <c r="H69" s="24"/>
      <c r="I69" s="24"/>
    </row>
    <row r="70" spans="2:9" s="1" customFormat="1" ht="11.5" x14ac:dyDescent="0.25">
      <c r="B70" s="58">
        <v>40848</v>
      </c>
      <c r="C70" s="9">
        <v>16.14</v>
      </c>
      <c r="D70" s="24">
        <v>18.48</v>
      </c>
      <c r="E70" s="24">
        <v>18.559999999999999</v>
      </c>
      <c r="F70" s="24">
        <v>28.72</v>
      </c>
      <c r="G70" s="43">
        <v>1.41</v>
      </c>
      <c r="H70" s="24"/>
      <c r="I70" s="24"/>
    </row>
    <row r="71" spans="2:9" s="1" customFormat="1" ht="11.5" x14ac:dyDescent="0.25">
      <c r="B71" s="58">
        <v>40878</v>
      </c>
      <c r="C71" s="9">
        <v>17.898</v>
      </c>
      <c r="D71" s="24">
        <v>20.04</v>
      </c>
      <c r="E71" s="24">
        <v>20.2</v>
      </c>
      <c r="F71" s="24">
        <v>22.14</v>
      </c>
      <c r="G71" s="43">
        <v>1.59</v>
      </c>
      <c r="H71" s="24"/>
      <c r="I71" s="24"/>
    </row>
    <row r="72" spans="2:9" s="1" customFormat="1" ht="11.5" x14ac:dyDescent="0.25">
      <c r="B72" s="58">
        <v>40909</v>
      </c>
      <c r="C72" s="9">
        <v>20.56</v>
      </c>
      <c r="D72" s="24">
        <v>19.54</v>
      </c>
      <c r="E72" s="24">
        <v>20.38</v>
      </c>
      <c r="F72" s="24">
        <v>19.39</v>
      </c>
      <c r="G72" s="43">
        <v>1.62</v>
      </c>
      <c r="H72" s="24"/>
      <c r="I72" s="24"/>
    </row>
    <row r="73" spans="2:9" s="1" customFormat="1" ht="11.5" x14ac:dyDescent="0.25">
      <c r="B73" s="58">
        <v>40940</v>
      </c>
      <c r="C73" s="9">
        <v>19.7</v>
      </c>
      <c r="D73" s="24">
        <v>20.28</v>
      </c>
      <c r="E73" s="24">
        <v>20.53</v>
      </c>
      <c r="F73" s="24">
        <v>18.48</v>
      </c>
      <c r="G73" s="43">
        <v>1.69</v>
      </c>
      <c r="H73" s="24"/>
      <c r="I73" s="24"/>
    </row>
    <row r="74" spans="2:9" s="1" customFormat="1" ht="11.5" x14ac:dyDescent="0.25">
      <c r="B74" s="58">
        <v>40969</v>
      </c>
      <c r="C74" s="9">
        <v>17.8</v>
      </c>
      <c r="D74" s="24">
        <v>20.34</v>
      </c>
      <c r="E74" s="24">
        <v>20.52</v>
      </c>
      <c r="F74" s="24">
        <v>23.77</v>
      </c>
      <c r="G74" s="43">
        <v>1.72</v>
      </c>
      <c r="H74" s="24"/>
      <c r="I74" s="24"/>
    </row>
    <row r="75" spans="2:9" s="1" customFormat="1" ht="11.5" x14ac:dyDescent="0.25">
      <c r="B75" s="58">
        <v>41000</v>
      </c>
      <c r="C75" s="9">
        <v>16.02</v>
      </c>
      <c r="D75" s="24">
        <v>20.22</v>
      </c>
      <c r="E75" s="24">
        <v>20.27</v>
      </c>
      <c r="F75" s="24">
        <v>16.16</v>
      </c>
      <c r="G75" s="43">
        <v>1.58</v>
      </c>
      <c r="H75" s="24"/>
      <c r="I75" s="24"/>
    </row>
    <row r="76" spans="2:9" s="1" customFormat="1" ht="11.5" x14ac:dyDescent="0.25">
      <c r="B76" s="58">
        <v>41030</v>
      </c>
      <c r="C76" s="9">
        <v>11.18</v>
      </c>
      <c r="D76" s="24">
        <v>20.12</v>
      </c>
      <c r="E76" s="24">
        <v>20.41</v>
      </c>
      <c r="F76" s="24">
        <v>17.170000000000002</v>
      </c>
      <c r="G76" s="43">
        <v>1.59</v>
      </c>
      <c r="H76" s="24"/>
      <c r="I76" s="24"/>
    </row>
    <row r="77" spans="2:9" s="1" customFormat="1" ht="11.5" x14ac:dyDescent="0.25">
      <c r="B77" s="58">
        <v>41061</v>
      </c>
      <c r="C77" s="9">
        <v>10.09</v>
      </c>
      <c r="D77" s="24">
        <v>20.3</v>
      </c>
      <c r="E77" s="24">
        <v>20.36</v>
      </c>
      <c r="F77" s="24">
        <v>17.18</v>
      </c>
      <c r="G77" s="43">
        <v>1.46</v>
      </c>
      <c r="H77" s="24"/>
      <c r="I77" s="24"/>
    </row>
    <row r="78" spans="2:9" s="1" customFormat="1" ht="11.5" x14ac:dyDescent="0.25">
      <c r="B78" s="58">
        <v>41091</v>
      </c>
      <c r="C78" s="9">
        <v>11.95</v>
      </c>
      <c r="D78" s="24">
        <v>20.149999999999999</v>
      </c>
      <c r="E78" s="24">
        <v>19.96</v>
      </c>
      <c r="F78" s="24">
        <v>13.64</v>
      </c>
      <c r="G78" s="43">
        <v>1.66</v>
      </c>
      <c r="H78" s="24"/>
      <c r="I78" s="24"/>
    </row>
    <row r="79" spans="2:9" s="1" customFormat="1" ht="11.5" x14ac:dyDescent="0.25">
      <c r="B79" s="58">
        <v>41122</v>
      </c>
      <c r="C79" s="9">
        <v>10.93</v>
      </c>
      <c r="D79" s="24">
        <v>20.13</v>
      </c>
      <c r="E79" s="24">
        <v>20.350000000000001</v>
      </c>
      <c r="F79" s="24">
        <v>9.09</v>
      </c>
      <c r="G79" s="43">
        <v>1.58</v>
      </c>
      <c r="H79" s="24"/>
      <c r="I79" s="24"/>
    </row>
    <row r="80" spans="2:9" s="1" customFormat="1" ht="11.5" x14ac:dyDescent="0.25">
      <c r="B80" s="58">
        <v>41153</v>
      </c>
      <c r="C80" s="9">
        <v>7.77</v>
      </c>
      <c r="D80" s="24">
        <v>19.73</v>
      </c>
      <c r="E80" s="24">
        <v>19.809999999999999</v>
      </c>
      <c r="F80" s="24">
        <v>7.01</v>
      </c>
      <c r="G80" s="43">
        <v>1.55</v>
      </c>
      <c r="H80" s="24"/>
      <c r="I80" s="24"/>
    </row>
    <row r="81" spans="2:9" s="1" customFormat="1" ht="11.5" x14ac:dyDescent="0.25">
      <c r="B81" s="58">
        <v>41183</v>
      </c>
      <c r="C81" s="9">
        <v>8.98</v>
      </c>
      <c r="D81" s="24">
        <v>19.04</v>
      </c>
      <c r="E81" s="24">
        <v>19.18</v>
      </c>
      <c r="F81" s="24">
        <v>9.17</v>
      </c>
      <c r="G81" s="43">
        <v>1.6</v>
      </c>
      <c r="H81" s="24"/>
      <c r="I81" s="24"/>
    </row>
    <row r="82" spans="2:9" s="1" customFormat="1" ht="11.5" x14ac:dyDescent="0.25">
      <c r="B82" s="58">
        <v>41214</v>
      </c>
      <c r="C82" s="9">
        <v>9.8000000000000007</v>
      </c>
      <c r="D82" s="24">
        <v>18.7</v>
      </c>
      <c r="E82" s="24">
        <v>18.8</v>
      </c>
      <c r="F82" s="24">
        <v>7.02</v>
      </c>
      <c r="G82" s="43">
        <v>1.57</v>
      </c>
      <c r="H82" s="24"/>
      <c r="I82" s="24"/>
    </row>
    <row r="83" spans="2:9" s="1" customFormat="1" ht="11.5" x14ac:dyDescent="0.25">
      <c r="B83" s="58">
        <v>41244</v>
      </c>
      <c r="C83" s="9">
        <v>8.25</v>
      </c>
      <c r="D83" s="24">
        <v>18.149999999999999</v>
      </c>
      <c r="E83" s="24">
        <v>17.79</v>
      </c>
      <c r="F83" s="24">
        <v>5.89</v>
      </c>
      <c r="G83" s="43">
        <v>1.6</v>
      </c>
      <c r="H83" s="24"/>
      <c r="I83" s="24"/>
    </row>
    <row r="84" spans="2:9" s="1" customFormat="1" ht="11.5" x14ac:dyDescent="0.25">
      <c r="B84" s="58">
        <v>41275</v>
      </c>
      <c r="C84" s="9">
        <v>8.1</v>
      </c>
      <c r="D84" s="24">
        <v>18.13</v>
      </c>
      <c r="E84" s="24">
        <v>18</v>
      </c>
      <c r="F84" s="24">
        <v>5.89</v>
      </c>
      <c r="G84" s="43">
        <v>1.65</v>
      </c>
      <c r="H84" s="24"/>
      <c r="I84" s="24"/>
    </row>
    <row r="85" spans="2:9" s="1" customFormat="1" ht="11.5" x14ac:dyDescent="0.25">
      <c r="B85" s="58">
        <v>41306</v>
      </c>
      <c r="C85" s="9">
        <v>8.3800000000000008</v>
      </c>
      <c r="D85" s="24">
        <v>17.84</v>
      </c>
      <c r="E85" s="24">
        <v>17.68</v>
      </c>
      <c r="F85" s="24">
        <v>9.0500000000000007</v>
      </c>
      <c r="G85" s="43">
        <v>1.65</v>
      </c>
      <c r="H85" s="24"/>
      <c r="I85" s="24"/>
    </row>
    <row r="86" spans="2:9" s="1" customFormat="1" ht="11.5" x14ac:dyDescent="0.25">
      <c r="B86" s="58">
        <v>41334</v>
      </c>
      <c r="C86" s="9">
        <v>9.8800000000000008</v>
      </c>
      <c r="D86" s="24">
        <v>17.73</v>
      </c>
      <c r="E86" s="24">
        <v>17.54</v>
      </c>
      <c r="F86" s="24">
        <v>8.76</v>
      </c>
      <c r="G86" s="43">
        <v>1.42</v>
      </c>
      <c r="H86" s="24"/>
      <c r="I86" s="24"/>
    </row>
    <row r="87" spans="2:9" s="1" customFormat="1" ht="11.5" x14ac:dyDescent="0.25">
      <c r="B87" s="58">
        <v>41365</v>
      </c>
      <c r="C87" s="9">
        <v>10.38</v>
      </c>
      <c r="D87" s="24">
        <v>17.87</v>
      </c>
      <c r="E87" s="24">
        <v>17.71</v>
      </c>
      <c r="F87" s="24">
        <v>7.87</v>
      </c>
      <c r="G87" s="43">
        <v>1.45</v>
      </c>
      <c r="H87" s="24"/>
      <c r="I87" s="24"/>
    </row>
    <row r="88" spans="2:9" s="1" customFormat="1" ht="11.5" x14ac:dyDescent="0.25">
      <c r="B88" s="58">
        <v>41395</v>
      </c>
      <c r="C88" s="9">
        <v>9.4600000000000009</v>
      </c>
      <c r="D88" s="24">
        <v>17.440000000000001</v>
      </c>
      <c r="E88" s="24">
        <v>17.600000000000001</v>
      </c>
      <c r="F88" s="24">
        <v>7.15</v>
      </c>
      <c r="G88" s="43">
        <v>1.53</v>
      </c>
      <c r="H88" s="24"/>
      <c r="I88" s="24"/>
    </row>
    <row r="89" spans="2:9" s="1" customFormat="1" ht="11.5" x14ac:dyDescent="0.25">
      <c r="B89" s="58">
        <v>41426</v>
      </c>
      <c r="C89" s="9">
        <v>6.21</v>
      </c>
      <c r="D89" s="24">
        <v>16.97</v>
      </c>
      <c r="E89" s="24">
        <v>16.920000000000002</v>
      </c>
      <c r="F89" s="24">
        <v>7.22</v>
      </c>
      <c r="G89" s="43">
        <v>1.73</v>
      </c>
      <c r="H89" s="24"/>
      <c r="I89" s="24"/>
    </row>
    <row r="90" spans="2:9" s="1" customFormat="1" ht="11.5" x14ac:dyDescent="0.25">
      <c r="B90" s="58">
        <v>41456</v>
      </c>
      <c r="C90" s="9">
        <v>5.92</v>
      </c>
      <c r="D90" s="24">
        <v>17.02</v>
      </c>
      <c r="E90" s="24">
        <v>17</v>
      </c>
      <c r="F90" s="24">
        <v>7.99</v>
      </c>
      <c r="G90" s="43">
        <v>1.64</v>
      </c>
      <c r="H90" s="24"/>
      <c r="I90" s="24"/>
    </row>
    <row r="91" spans="2:9" s="1" customFormat="1" ht="11.5" x14ac:dyDescent="0.25">
      <c r="B91" s="58">
        <v>41487</v>
      </c>
      <c r="C91" s="9">
        <v>10.029999999999999</v>
      </c>
      <c r="D91" s="24">
        <v>16.96</v>
      </c>
      <c r="E91" s="24">
        <v>16.89</v>
      </c>
      <c r="F91" s="24">
        <v>8.9600000000000009</v>
      </c>
      <c r="G91" s="43">
        <v>1.67</v>
      </c>
      <c r="H91" s="24"/>
      <c r="I91" s="24"/>
    </row>
    <row r="92" spans="2:9" s="1" customFormat="1" ht="11.5" x14ac:dyDescent="0.25">
      <c r="B92" s="58">
        <v>41518</v>
      </c>
      <c r="C92" s="9">
        <v>9.58</v>
      </c>
      <c r="D92" s="24">
        <v>16.850000000000001</v>
      </c>
      <c r="E92" s="24">
        <v>16.420000000000002</v>
      </c>
      <c r="F92" s="24">
        <v>7.82</v>
      </c>
      <c r="G92" s="43">
        <v>1.64</v>
      </c>
      <c r="H92" s="24"/>
      <c r="I92" s="24"/>
    </row>
    <row r="93" spans="2:9" s="1" customFormat="1" ht="11.5" x14ac:dyDescent="0.25">
      <c r="B93" s="58">
        <v>41548</v>
      </c>
      <c r="C93" s="9">
        <v>9.77</v>
      </c>
      <c r="D93" s="24">
        <v>17</v>
      </c>
      <c r="E93" s="24">
        <v>16.96</v>
      </c>
      <c r="F93" s="24">
        <v>10.68</v>
      </c>
      <c r="G93" s="43">
        <v>1.63</v>
      </c>
      <c r="H93" s="24"/>
      <c r="I93" s="24"/>
    </row>
    <row r="94" spans="2:9" s="1" customFormat="1" ht="11.5" x14ac:dyDescent="0.25">
      <c r="B94" s="58">
        <v>41579</v>
      </c>
      <c r="C94" s="9">
        <v>9.9499999999999993</v>
      </c>
      <c r="D94" s="24">
        <v>16.89</v>
      </c>
      <c r="E94" s="24">
        <v>16.5</v>
      </c>
      <c r="F94" s="24">
        <v>10.76</v>
      </c>
      <c r="G94" s="43">
        <v>1.58</v>
      </c>
      <c r="H94" s="24"/>
      <c r="I94" s="24"/>
    </row>
    <row r="95" spans="2:9" s="1" customFormat="1" ht="11.5" x14ac:dyDescent="0.25">
      <c r="B95" s="58">
        <v>41609</v>
      </c>
      <c r="C95" s="9">
        <v>9.5299999999999994</v>
      </c>
      <c r="D95" s="24">
        <v>16.989999999999998</v>
      </c>
      <c r="E95" s="24">
        <v>16.510000000000002</v>
      </c>
      <c r="F95" s="24">
        <v>9.1199999999999992</v>
      </c>
      <c r="G95" s="43">
        <v>1.58</v>
      </c>
      <c r="H95" s="24"/>
      <c r="I95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9007-C805-4471-AA78-9E0C76CD7163}">
  <dimension ref="A1:H141"/>
  <sheetViews>
    <sheetView workbookViewId="0">
      <pane ySplit="1" topLeftCell="A134" activePane="bottomLeft" state="frozen"/>
      <selection pane="bottomLeft" activeCell="A141" sqref="A141:D147"/>
    </sheetView>
  </sheetViews>
  <sheetFormatPr defaultColWidth="27.1796875" defaultRowHeight="11.5" x14ac:dyDescent="0.25"/>
  <cols>
    <col min="1" max="1" width="9.26953125" style="1" bestFit="1" customWidth="1"/>
    <col min="2" max="2" width="18.6328125" style="1" bestFit="1" customWidth="1"/>
    <col min="3" max="3" width="13.90625" style="1" customWidth="1"/>
    <col min="4" max="4" width="10.1796875" style="1" customWidth="1"/>
    <col min="5" max="5" width="12.26953125" style="1" customWidth="1"/>
    <col min="6" max="6" width="12.453125" style="1" customWidth="1"/>
    <col min="7" max="7" width="15.54296875" style="1" customWidth="1"/>
    <col min="8" max="8" width="11.7265625" style="1" customWidth="1"/>
    <col min="9" max="16384" width="27.1796875" style="1"/>
  </cols>
  <sheetData>
    <row r="1" spans="1:8" ht="46" x14ac:dyDescent="0.25">
      <c r="A1" s="59"/>
      <c r="B1" s="62" t="s">
        <v>106</v>
      </c>
      <c r="C1" s="60" t="s">
        <v>112</v>
      </c>
      <c r="D1" s="60" t="s">
        <v>107</v>
      </c>
      <c r="E1" s="60" t="s">
        <v>108</v>
      </c>
      <c r="F1" s="60" t="s">
        <v>110</v>
      </c>
      <c r="G1" s="60" t="s">
        <v>109</v>
      </c>
      <c r="H1" s="61" t="s">
        <v>111</v>
      </c>
    </row>
    <row r="2" spans="1:8" x14ac:dyDescent="0.25">
      <c r="A2" s="58">
        <v>41640</v>
      </c>
      <c r="B2" s="171">
        <v>9.26</v>
      </c>
      <c r="C2" s="172">
        <v>8.5</v>
      </c>
      <c r="D2" s="172">
        <v>17.03</v>
      </c>
      <c r="E2" s="172">
        <v>16.82</v>
      </c>
      <c r="F2" s="172">
        <v>6.55</v>
      </c>
      <c r="G2" s="172">
        <v>10.43</v>
      </c>
      <c r="H2" s="173">
        <v>1.56</v>
      </c>
    </row>
    <row r="3" spans="1:8" x14ac:dyDescent="0.25">
      <c r="A3" s="58">
        <v>41671</v>
      </c>
      <c r="B3" s="171">
        <v>9.16</v>
      </c>
      <c r="C3" s="172">
        <v>8.5</v>
      </c>
      <c r="D3" s="172">
        <v>17.059999999999999</v>
      </c>
      <c r="E3" s="172">
        <v>16.88</v>
      </c>
      <c r="F3" s="172">
        <v>6.57</v>
      </c>
      <c r="G3" s="172">
        <v>8.83</v>
      </c>
      <c r="H3" s="173">
        <v>1.49</v>
      </c>
    </row>
    <row r="4" spans="1:8" x14ac:dyDescent="0.25">
      <c r="A4" s="58">
        <v>41699</v>
      </c>
      <c r="B4" s="171">
        <v>8.98</v>
      </c>
      <c r="C4" s="172">
        <v>8.5</v>
      </c>
      <c r="D4" s="172">
        <v>16.91</v>
      </c>
      <c r="E4" s="172">
        <v>16.440000000000001</v>
      </c>
      <c r="F4" s="172">
        <v>6.61</v>
      </c>
      <c r="G4" s="172">
        <v>6.47</v>
      </c>
      <c r="H4" s="173">
        <v>1.56</v>
      </c>
    </row>
    <row r="5" spans="1:8" x14ac:dyDescent="0.25">
      <c r="A5" s="58">
        <v>41730</v>
      </c>
      <c r="B5" s="171">
        <v>8.8000000000000007</v>
      </c>
      <c r="C5" s="172">
        <v>8.5</v>
      </c>
      <c r="D5" s="172">
        <v>16.7</v>
      </c>
      <c r="E5" s="172">
        <v>16.440000000000001</v>
      </c>
      <c r="F5" s="172">
        <v>6.48</v>
      </c>
      <c r="G5" s="172">
        <v>7.4</v>
      </c>
      <c r="H5" s="173">
        <v>1.53</v>
      </c>
    </row>
    <row r="6" spans="1:8" x14ac:dyDescent="0.25">
      <c r="A6" s="58">
        <v>41760</v>
      </c>
      <c r="B6" s="171">
        <v>8.82</v>
      </c>
      <c r="C6" s="172">
        <v>8.5</v>
      </c>
      <c r="D6" s="172">
        <v>16.97</v>
      </c>
      <c r="E6" s="172">
        <v>17.850000000000001</v>
      </c>
      <c r="F6" s="172">
        <v>6.42</v>
      </c>
      <c r="G6" s="172">
        <v>7.76</v>
      </c>
      <c r="H6" s="173">
        <v>1.54</v>
      </c>
    </row>
    <row r="7" spans="1:8" x14ac:dyDescent="0.25">
      <c r="A7" s="58">
        <v>41791</v>
      </c>
      <c r="B7" s="171">
        <v>9.81</v>
      </c>
      <c r="C7" s="172">
        <v>8.5</v>
      </c>
      <c r="D7" s="172">
        <v>16.36</v>
      </c>
      <c r="E7" s="172">
        <v>15.88</v>
      </c>
      <c r="F7" s="172">
        <v>6.56</v>
      </c>
      <c r="G7" s="172">
        <v>6.6</v>
      </c>
      <c r="H7" s="173">
        <v>1.5</v>
      </c>
    </row>
    <row r="8" spans="1:8" x14ac:dyDescent="0.25">
      <c r="A8" s="58">
        <v>41821</v>
      </c>
      <c r="B8" s="171">
        <v>9.7799999999999994</v>
      </c>
      <c r="C8" s="172">
        <v>8.5</v>
      </c>
      <c r="D8" s="172">
        <v>16.91</v>
      </c>
      <c r="E8" s="172">
        <v>17.12</v>
      </c>
      <c r="F8" s="172">
        <v>6.59</v>
      </c>
      <c r="G8" s="172">
        <v>8.08</v>
      </c>
      <c r="H8" s="173">
        <v>1.33</v>
      </c>
    </row>
    <row r="9" spans="1:8" x14ac:dyDescent="0.25">
      <c r="A9" s="58">
        <v>41852</v>
      </c>
      <c r="B9" s="171">
        <v>8.2899999999999991</v>
      </c>
      <c r="C9" s="172">
        <v>8.5</v>
      </c>
      <c r="D9" s="172">
        <v>16.260000000000002</v>
      </c>
      <c r="E9" s="172">
        <v>16.2</v>
      </c>
      <c r="F9" s="172">
        <v>6.51</v>
      </c>
      <c r="G9" s="172">
        <v>11.79</v>
      </c>
      <c r="H9" s="173">
        <v>1.5</v>
      </c>
    </row>
    <row r="10" spans="1:8" x14ac:dyDescent="0.25">
      <c r="A10" s="58">
        <v>41883</v>
      </c>
      <c r="B10" s="171">
        <v>8.3800000000000008</v>
      </c>
      <c r="C10" s="172">
        <v>8.5</v>
      </c>
      <c r="D10" s="172">
        <v>16.04</v>
      </c>
      <c r="E10" s="172">
        <v>15.79</v>
      </c>
      <c r="F10" s="172">
        <v>6.64</v>
      </c>
      <c r="G10" s="172">
        <v>7.43</v>
      </c>
      <c r="H10" s="173">
        <v>1.51</v>
      </c>
    </row>
    <row r="11" spans="1:8" x14ac:dyDescent="0.25">
      <c r="A11" s="58">
        <v>41913</v>
      </c>
      <c r="B11" s="171">
        <v>8.67</v>
      </c>
      <c r="C11" s="172">
        <v>8.5</v>
      </c>
      <c r="D11" s="172">
        <v>16</v>
      </c>
      <c r="E11" s="172">
        <v>15.77</v>
      </c>
      <c r="F11" s="172">
        <v>6.64</v>
      </c>
      <c r="G11" s="172">
        <v>6.73</v>
      </c>
      <c r="H11" s="173">
        <v>1.55</v>
      </c>
    </row>
    <row r="12" spans="1:8" x14ac:dyDescent="0.25">
      <c r="A12" s="58">
        <v>41944</v>
      </c>
      <c r="B12" s="171">
        <v>8.64</v>
      </c>
      <c r="C12" s="172">
        <v>8.5</v>
      </c>
      <c r="D12" s="172">
        <v>15.94</v>
      </c>
      <c r="E12" s="172">
        <v>15.66</v>
      </c>
      <c r="F12" s="172">
        <v>6.72</v>
      </c>
      <c r="G12" s="172">
        <v>6.86</v>
      </c>
      <c r="H12" s="173">
        <v>1.52</v>
      </c>
    </row>
    <row r="13" spans="1:8" x14ac:dyDescent="0.25">
      <c r="A13" s="58">
        <v>41974</v>
      </c>
      <c r="B13" s="171">
        <v>8.58</v>
      </c>
      <c r="C13" s="172">
        <v>8.5</v>
      </c>
      <c r="D13" s="172">
        <v>15.99</v>
      </c>
      <c r="E13" s="172">
        <v>15.86</v>
      </c>
      <c r="F13" s="172">
        <v>6.81</v>
      </c>
      <c r="G13" s="172">
        <v>6.91</v>
      </c>
      <c r="H13" s="173">
        <v>1.85</v>
      </c>
    </row>
    <row r="14" spans="1:8" x14ac:dyDescent="0.25">
      <c r="A14" s="58">
        <v>42005</v>
      </c>
      <c r="B14" s="171">
        <v>8.59</v>
      </c>
      <c r="C14" s="172">
        <v>8.5</v>
      </c>
      <c r="D14" s="172">
        <v>15.93</v>
      </c>
      <c r="E14" s="172">
        <v>15.95</v>
      </c>
      <c r="F14" s="172">
        <v>6.65</v>
      </c>
      <c r="G14" s="172">
        <v>7.12</v>
      </c>
      <c r="H14" s="173">
        <v>1.58</v>
      </c>
    </row>
    <row r="15" spans="1:8" x14ac:dyDescent="0.25">
      <c r="A15" s="58">
        <v>42036</v>
      </c>
      <c r="B15" s="171">
        <v>8.59</v>
      </c>
      <c r="C15" s="172">
        <v>8.5</v>
      </c>
      <c r="D15" s="172">
        <v>15.47</v>
      </c>
      <c r="E15" s="172">
        <v>15.67</v>
      </c>
      <c r="F15" s="172">
        <v>6.68</v>
      </c>
      <c r="G15" s="172">
        <v>6.77</v>
      </c>
      <c r="H15" s="173">
        <v>1.53</v>
      </c>
    </row>
    <row r="16" spans="1:8" x14ac:dyDescent="0.25">
      <c r="A16" s="58">
        <v>42064</v>
      </c>
      <c r="B16" s="171">
        <v>8.49</v>
      </c>
      <c r="C16" s="172">
        <v>8.5</v>
      </c>
      <c r="D16" s="172">
        <v>15.46</v>
      </c>
      <c r="E16" s="172">
        <v>15.68</v>
      </c>
      <c r="F16" s="172">
        <v>6.63</v>
      </c>
      <c r="G16" s="172">
        <v>6.85</v>
      </c>
      <c r="H16" s="173">
        <v>1.53</v>
      </c>
    </row>
    <row r="17" spans="1:8" x14ac:dyDescent="0.25">
      <c r="A17" s="58">
        <v>42095</v>
      </c>
      <c r="B17" s="171">
        <v>8.42</v>
      </c>
      <c r="C17" s="172">
        <v>8.5</v>
      </c>
      <c r="D17" s="172">
        <v>15.4</v>
      </c>
      <c r="E17" s="172">
        <v>15.52</v>
      </c>
      <c r="F17" s="172">
        <v>6.6</v>
      </c>
      <c r="G17" s="172">
        <v>8.77</v>
      </c>
      <c r="H17" s="173">
        <v>1.9</v>
      </c>
    </row>
    <row r="18" spans="1:8" x14ac:dyDescent="0.25">
      <c r="A18" s="58">
        <v>42125</v>
      </c>
      <c r="B18" s="171">
        <v>8.26</v>
      </c>
      <c r="C18" s="172">
        <v>8.5</v>
      </c>
      <c r="D18" s="172">
        <v>15.26</v>
      </c>
      <c r="E18" s="172">
        <v>15.1</v>
      </c>
      <c r="F18" s="172">
        <v>6.55</v>
      </c>
      <c r="G18" s="172">
        <v>11.17</v>
      </c>
      <c r="H18" s="173">
        <v>1.48</v>
      </c>
    </row>
    <row r="19" spans="1:8" x14ac:dyDescent="0.25">
      <c r="A19" s="58">
        <v>42156</v>
      </c>
      <c r="B19" s="171">
        <v>8.26</v>
      </c>
      <c r="C19" s="172">
        <v>10</v>
      </c>
      <c r="D19" s="172">
        <v>15.48</v>
      </c>
      <c r="E19" s="172">
        <v>15.65</v>
      </c>
      <c r="F19" s="172">
        <v>6.64</v>
      </c>
      <c r="G19" s="172">
        <v>11.78</v>
      </c>
      <c r="H19" s="173">
        <v>1.85</v>
      </c>
    </row>
    <row r="20" spans="1:8" x14ac:dyDescent="0.25">
      <c r="A20" s="58">
        <v>42186</v>
      </c>
      <c r="B20" s="171">
        <v>10.56</v>
      </c>
      <c r="C20" s="172">
        <v>11.5</v>
      </c>
      <c r="D20" s="172">
        <v>15.75</v>
      </c>
      <c r="E20" s="172">
        <v>16.05</v>
      </c>
      <c r="F20" s="172">
        <v>6.31</v>
      </c>
      <c r="G20" s="172">
        <v>13.37</v>
      </c>
      <c r="H20" s="173">
        <v>1.37</v>
      </c>
    </row>
    <row r="21" spans="1:8" x14ac:dyDescent="0.25">
      <c r="A21" s="58">
        <v>42217</v>
      </c>
      <c r="B21" s="171">
        <v>11.54</v>
      </c>
      <c r="C21" s="172">
        <v>11.5</v>
      </c>
      <c r="D21" s="172">
        <v>15.68</v>
      </c>
      <c r="E21" s="172">
        <v>15.98</v>
      </c>
      <c r="F21" s="172">
        <v>6.91</v>
      </c>
      <c r="G21" s="172">
        <v>18.63</v>
      </c>
      <c r="H21" s="173">
        <v>1.5</v>
      </c>
    </row>
    <row r="22" spans="1:8" x14ac:dyDescent="0.25">
      <c r="A22" s="58">
        <v>42248</v>
      </c>
      <c r="B22" s="171">
        <v>14</v>
      </c>
      <c r="C22" s="172">
        <v>11.5</v>
      </c>
      <c r="D22" s="172">
        <v>16.57</v>
      </c>
      <c r="E22" s="172">
        <v>16.649999999999999</v>
      </c>
      <c r="F22" s="172">
        <v>7.28</v>
      </c>
      <c r="G22" s="172">
        <v>21.34</v>
      </c>
      <c r="H22" s="173">
        <v>1.71</v>
      </c>
    </row>
    <row r="23" spans="1:8" x14ac:dyDescent="0.25">
      <c r="A23" s="58">
        <v>42278</v>
      </c>
      <c r="B23" s="171">
        <v>21.04</v>
      </c>
      <c r="C23" s="172">
        <v>11.5</v>
      </c>
      <c r="D23" s="172">
        <v>16.579999999999998</v>
      </c>
      <c r="E23" s="172">
        <v>16.809999999999999</v>
      </c>
      <c r="F23" s="172">
        <v>7.54</v>
      </c>
      <c r="G23" s="172">
        <v>15.35</v>
      </c>
      <c r="H23" s="173">
        <v>1.68</v>
      </c>
    </row>
    <row r="24" spans="1:8" x14ac:dyDescent="0.25">
      <c r="A24" s="58">
        <v>42309</v>
      </c>
      <c r="B24" s="171">
        <v>12.34</v>
      </c>
      <c r="C24" s="172">
        <v>11.5</v>
      </c>
      <c r="D24" s="172">
        <v>17.170000000000002</v>
      </c>
      <c r="E24" s="172">
        <v>17.59</v>
      </c>
      <c r="F24" s="172">
        <v>7.56</v>
      </c>
      <c r="G24" s="172">
        <v>8.85</v>
      </c>
      <c r="H24" s="173">
        <v>1.41</v>
      </c>
    </row>
    <row r="25" spans="1:8" x14ac:dyDescent="0.25">
      <c r="A25" s="58">
        <v>42339</v>
      </c>
      <c r="B25" s="171">
        <v>9.69</v>
      </c>
      <c r="C25" s="172">
        <v>11.5</v>
      </c>
      <c r="D25" s="172">
        <v>17.41</v>
      </c>
      <c r="E25" s="172">
        <v>17.21</v>
      </c>
      <c r="F25" s="172">
        <v>7.92</v>
      </c>
      <c r="G25" s="172">
        <v>5.31</v>
      </c>
      <c r="H25" s="173">
        <v>1.56</v>
      </c>
    </row>
    <row r="26" spans="1:8" x14ac:dyDescent="0.25">
      <c r="A26" s="58">
        <v>42370</v>
      </c>
      <c r="B26" s="171">
        <v>11.36</v>
      </c>
      <c r="C26" s="174">
        <v>11.5</v>
      </c>
      <c r="D26" s="174">
        <v>18</v>
      </c>
      <c r="E26" s="174">
        <v>18.25</v>
      </c>
      <c r="F26" s="172">
        <v>7.54</v>
      </c>
      <c r="G26" s="174">
        <v>6.12</v>
      </c>
      <c r="H26" s="175">
        <v>1.56</v>
      </c>
    </row>
    <row r="27" spans="1:8" x14ac:dyDescent="0.25">
      <c r="A27" s="58">
        <v>42401</v>
      </c>
      <c r="B27" s="171">
        <v>10.63</v>
      </c>
      <c r="C27" s="174">
        <v>11.5</v>
      </c>
      <c r="D27" s="174">
        <v>17.91</v>
      </c>
      <c r="E27" s="174">
        <v>18.25</v>
      </c>
      <c r="F27" s="172">
        <v>7.51</v>
      </c>
      <c r="G27" s="174">
        <v>4.54</v>
      </c>
      <c r="H27" s="175">
        <v>1.4</v>
      </c>
    </row>
    <row r="28" spans="1:8" x14ac:dyDescent="0.25">
      <c r="A28" s="58">
        <v>42430</v>
      </c>
      <c r="B28" s="171">
        <v>8.7200000000000006</v>
      </c>
      <c r="C28" s="174">
        <v>11.5</v>
      </c>
      <c r="D28" s="174">
        <v>17.87</v>
      </c>
      <c r="E28" s="174">
        <v>18.059999999999999</v>
      </c>
      <c r="F28" s="172">
        <v>7.17</v>
      </c>
      <c r="G28" s="174">
        <v>4.0999999999999996</v>
      </c>
      <c r="H28" s="175">
        <v>1.35</v>
      </c>
    </row>
    <row r="29" spans="1:8" x14ac:dyDescent="0.25">
      <c r="A29" s="58">
        <v>42461</v>
      </c>
      <c r="B29" s="171">
        <v>8.92</v>
      </c>
      <c r="C29" s="174">
        <v>11.5</v>
      </c>
      <c r="D29" s="174">
        <v>18.04</v>
      </c>
      <c r="E29" s="174">
        <v>18.36</v>
      </c>
      <c r="F29" s="172">
        <v>6.7</v>
      </c>
      <c r="G29" s="174">
        <v>4.01</v>
      </c>
      <c r="H29" s="175">
        <v>1.49</v>
      </c>
    </row>
    <row r="30" spans="1:8" x14ac:dyDescent="0.25">
      <c r="A30" s="58">
        <v>42491</v>
      </c>
      <c r="B30" s="171">
        <v>8.15</v>
      </c>
      <c r="C30" s="174">
        <v>10.5</v>
      </c>
      <c r="D30" s="174">
        <v>18.22</v>
      </c>
      <c r="E30" s="174">
        <v>18.25</v>
      </c>
      <c r="F30" s="172">
        <v>6.38</v>
      </c>
      <c r="G30" s="174">
        <v>3.82</v>
      </c>
      <c r="H30" s="175">
        <v>1.59</v>
      </c>
    </row>
    <row r="31" spans="1:8" x14ac:dyDescent="0.25">
      <c r="A31" s="58">
        <v>42522</v>
      </c>
      <c r="B31" s="171">
        <v>7.25</v>
      </c>
      <c r="C31" s="174">
        <v>10.5</v>
      </c>
      <c r="D31" s="174">
        <v>18.18</v>
      </c>
      <c r="E31" s="174">
        <v>18.04</v>
      </c>
      <c r="F31" s="172">
        <v>6.78</v>
      </c>
      <c r="G31" s="174">
        <v>4.5599999999999996</v>
      </c>
      <c r="H31" s="175">
        <v>1.6</v>
      </c>
    </row>
    <row r="32" spans="1:8" x14ac:dyDescent="0.25">
      <c r="A32" s="58">
        <v>42552</v>
      </c>
      <c r="B32" s="171">
        <v>6.16</v>
      </c>
      <c r="C32" s="174">
        <v>10.5</v>
      </c>
      <c r="D32" s="174">
        <v>18.100000000000001</v>
      </c>
      <c r="E32" s="174">
        <v>17.53</v>
      </c>
      <c r="F32" s="172">
        <v>6.64</v>
      </c>
      <c r="G32" s="174">
        <v>5.88</v>
      </c>
      <c r="H32" s="175">
        <v>1.67</v>
      </c>
    </row>
    <row r="33" spans="1:8" x14ac:dyDescent="0.25">
      <c r="A33" s="58">
        <v>42583</v>
      </c>
      <c r="B33" s="171">
        <v>8.48</v>
      </c>
      <c r="C33" s="174">
        <v>10.5</v>
      </c>
      <c r="D33" s="174">
        <v>17.66</v>
      </c>
      <c r="E33" s="174">
        <v>17.96</v>
      </c>
      <c r="F33" s="172">
        <v>6.42</v>
      </c>
      <c r="G33" s="174">
        <v>4.9800000000000004</v>
      </c>
      <c r="H33" s="175">
        <v>1.68</v>
      </c>
    </row>
    <row r="34" spans="1:8" x14ac:dyDescent="0.25">
      <c r="A34" s="58">
        <v>42614</v>
      </c>
      <c r="B34" s="171">
        <v>8.06</v>
      </c>
      <c r="C34" s="174">
        <v>10</v>
      </c>
      <c r="D34" s="174">
        <v>13.86</v>
      </c>
      <c r="E34" s="174">
        <v>13.74</v>
      </c>
      <c r="F34" s="172">
        <v>6.91</v>
      </c>
      <c r="G34" s="174">
        <v>4.87</v>
      </c>
      <c r="H34" s="175">
        <v>3.78</v>
      </c>
    </row>
    <row r="35" spans="1:8" x14ac:dyDescent="0.25">
      <c r="A35" s="58">
        <v>42644</v>
      </c>
      <c r="B35" s="171">
        <v>7.76</v>
      </c>
      <c r="C35" s="174">
        <v>10</v>
      </c>
      <c r="D35" s="174">
        <v>13.73</v>
      </c>
      <c r="E35" s="174">
        <v>13.48</v>
      </c>
      <c r="F35" s="172">
        <v>7.82</v>
      </c>
      <c r="G35" s="174">
        <v>4.12</v>
      </c>
      <c r="H35" s="175">
        <v>6.08</v>
      </c>
    </row>
    <row r="36" spans="1:8" x14ac:dyDescent="0.25">
      <c r="A36" s="58">
        <v>42675</v>
      </c>
      <c r="B36" s="171">
        <v>8.26</v>
      </c>
      <c r="C36" s="174">
        <v>10</v>
      </c>
      <c r="D36" s="174">
        <v>13.66</v>
      </c>
      <c r="E36" s="174">
        <v>13.49</v>
      </c>
      <c r="F36" s="172">
        <v>7.65</v>
      </c>
      <c r="G36" s="174">
        <v>5.12</v>
      </c>
      <c r="H36" s="175">
        <v>6.52</v>
      </c>
    </row>
    <row r="37" spans="1:8" x14ac:dyDescent="0.25">
      <c r="A37" s="58">
        <v>42705</v>
      </c>
      <c r="B37" s="171">
        <v>8.44</v>
      </c>
      <c r="C37" s="174">
        <v>10</v>
      </c>
      <c r="D37" s="174">
        <v>13.69</v>
      </c>
      <c r="E37" s="174">
        <v>13.49</v>
      </c>
      <c r="F37" s="172">
        <v>7.33</v>
      </c>
      <c r="G37" s="174">
        <v>5.92</v>
      </c>
      <c r="H37" s="175">
        <v>6.37</v>
      </c>
    </row>
    <row r="38" spans="1:8" x14ac:dyDescent="0.25">
      <c r="A38" s="58">
        <v>42736</v>
      </c>
      <c r="B38" s="171">
        <v>8.6199999999999992</v>
      </c>
      <c r="C38" s="174">
        <v>10</v>
      </c>
      <c r="D38" s="174">
        <v>13.66</v>
      </c>
      <c r="E38" s="174">
        <v>13.3</v>
      </c>
      <c r="F38" s="172">
        <v>7.2</v>
      </c>
      <c r="G38" s="174">
        <v>7.7</v>
      </c>
      <c r="H38" s="175">
        <v>6.09</v>
      </c>
    </row>
    <row r="39" spans="1:8" x14ac:dyDescent="0.25">
      <c r="A39" s="58">
        <v>42767</v>
      </c>
      <c r="B39" s="171">
        <v>8.64</v>
      </c>
      <c r="C39" s="174">
        <v>10</v>
      </c>
      <c r="D39" s="174">
        <v>13.69</v>
      </c>
      <c r="E39" s="174">
        <v>13.32</v>
      </c>
      <c r="F39" s="172">
        <v>7.66</v>
      </c>
      <c r="G39" s="174">
        <v>6.41</v>
      </c>
      <c r="H39" s="175">
        <v>6.81</v>
      </c>
    </row>
    <row r="40" spans="1:8" x14ac:dyDescent="0.25">
      <c r="A40" s="58">
        <v>42795</v>
      </c>
      <c r="B40" s="171">
        <v>8.68</v>
      </c>
      <c r="C40" s="174">
        <v>10</v>
      </c>
      <c r="D40" s="174">
        <v>13.61</v>
      </c>
      <c r="E40" s="174">
        <v>13.29</v>
      </c>
      <c r="F40" s="172">
        <v>7.12</v>
      </c>
      <c r="G40" s="174">
        <v>4.46</v>
      </c>
      <c r="H40" s="175">
        <v>5.89</v>
      </c>
    </row>
    <row r="41" spans="1:8" x14ac:dyDescent="0.25">
      <c r="A41" s="58">
        <v>42826</v>
      </c>
      <c r="B41" s="171">
        <v>8.77</v>
      </c>
      <c r="C41" s="174">
        <v>10</v>
      </c>
      <c r="D41" s="174">
        <v>13.52</v>
      </c>
      <c r="E41" s="174">
        <v>13.3</v>
      </c>
      <c r="F41" s="172">
        <v>6.97</v>
      </c>
      <c r="G41" s="174">
        <v>5.31</v>
      </c>
      <c r="H41" s="175">
        <v>5.67</v>
      </c>
    </row>
    <row r="42" spans="1:8" x14ac:dyDescent="0.25">
      <c r="A42" s="58">
        <v>42856</v>
      </c>
      <c r="B42" s="171">
        <v>8.73</v>
      </c>
      <c r="C42" s="174">
        <v>10</v>
      </c>
      <c r="D42" s="174">
        <v>13.71</v>
      </c>
      <c r="E42" s="174">
        <v>13.44</v>
      </c>
      <c r="F42" s="172">
        <v>7.07</v>
      </c>
      <c r="G42" s="174">
        <v>4.93</v>
      </c>
      <c r="H42" s="175">
        <v>5.85</v>
      </c>
    </row>
    <row r="43" spans="1:8" x14ac:dyDescent="0.25">
      <c r="A43" s="58">
        <v>42887</v>
      </c>
      <c r="B43" s="171">
        <v>8.42</v>
      </c>
      <c r="C43" s="174">
        <v>10</v>
      </c>
      <c r="D43" s="174">
        <v>13.66</v>
      </c>
      <c r="E43" s="174">
        <v>13.75</v>
      </c>
      <c r="F43" s="172">
        <v>7.05</v>
      </c>
      <c r="G43" s="174">
        <v>3.99</v>
      </c>
      <c r="H43" s="175">
        <v>5.66</v>
      </c>
    </row>
    <row r="44" spans="1:8" x14ac:dyDescent="0.25">
      <c r="A44" s="58">
        <v>42917</v>
      </c>
      <c r="B44" s="171">
        <v>8.2200000000000006</v>
      </c>
      <c r="C44" s="174">
        <v>10</v>
      </c>
      <c r="D44" s="174">
        <v>13.68</v>
      </c>
      <c r="E44" s="174">
        <v>13.64</v>
      </c>
      <c r="F44" s="172">
        <v>7.47</v>
      </c>
      <c r="G44" s="174">
        <v>6.84</v>
      </c>
      <c r="H44" s="175">
        <v>6.4</v>
      </c>
    </row>
    <row r="45" spans="1:8" x14ac:dyDescent="0.25">
      <c r="A45" s="58">
        <v>42948</v>
      </c>
      <c r="B45" s="171">
        <v>8.18</v>
      </c>
      <c r="C45" s="174">
        <v>10</v>
      </c>
      <c r="D45" s="174">
        <v>13.65</v>
      </c>
      <c r="E45" s="174">
        <v>13.66</v>
      </c>
      <c r="F45" s="172">
        <v>7.29</v>
      </c>
      <c r="G45" s="174">
        <v>8.1199999999999992</v>
      </c>
      <c r="H45" s="175">
        <v>5.94</v>
      </c>
    </row>
    <row r="46" spans="1:8" x14ac:dyDescent="0.25">
      <c r="A46" s="58">
        <v>42979</v>
      </c>
      <c r="B46" s="171">
        <v>8.1300000000000008</v>
      </c>
      <c r="C46" s="174">
        <v>10</v>
      </c>
      <c r="D46" s="174">
        <v>13.69</v>
      </c>
      <c r="E46" s="174">
        <v>13.65</v>
      </c>
      <c r="F46" s="172">
        <v>7.62</v>
      </c>
      <c r="G46" s="174">
        <v>5.52</v>
      </c>
      <c r="H46" s="175">
        <v>6.42</v>
      </c>
    </row>
    <row r="47" spans="1:8" x14ac:dyDescent="0.25">
      <c r="A47" s="58">
        <v>43009</v>
      </c>
      <c r="B47" s="171">
        <v>8.09</v>
      </c>
      <c r="C47" s="174">
        <v>10</v>
      </c>
      <c r="D47" s="174">
        <v>13.71</v>
      </c>
      <c r="E47" s="174">
        <v>13.68</v>
      </c>
      <c r="F47" s="172">
        <v>7.82</v>
      </c>
      <c r="G47" s="174">
        <v>7.85</v>
      </c>
      <c r="H47" s="175">
        <v>6.47</v>
      </c>
    </row>
    <row r="48" spans="1:8" x14ac:dyDescent="0.25">
      <c r="A48" s="58">
        <v>43040</v>
      </c>
      <c r="B48" s="171">
        <v>8.01</v>
      </c>
      <c r="C48" s="174">
        <v>10</v>
      </c>
      <c r="D48" s="174">
        <v>13.68</v>
      </c>
      <c r="E48" s="174">
        <v>13.6</v>
      </c>
      <c r="F48" s="172">
        <v>8.07</v>
      </c>
      <c r="G48" s="174">
        <v>8.86</v>
      </c>
      <c r="H48" s="175">
        <v>6.93</v>
      </c>
    </row>
    <row r="49" spans="1:8" x14ac:dyDescent="0.25">
      <c r="A49" s="58">
        <v>43070</v>
      </c>
      <c r="B49" s="171">
        <v>8.01</v>
      </c>
      <c r="C49" s="174">
        <v>10</v>
      </c>
      <c r="D49" s="174">
        <v>13.63</v>
      </c>
      <c r="E49" s="174">
        <v>13.52</v>
      </c>
      <c r="F49" s="172">
        <v>8.34</v>
      </c>
      <c r="G49" s="174">
        <v>7.27</v>
      </c>
      <c r="H49" s="175">
        <v>6.91</v>
      </c>
    </row>
    <row r="50" spans="1:8" x14ac:dyDescent="0.25">
      <c r="A50" s="58">
        <v>43101</v>
      </c>
      <c r="B50" s="171">
        <v>8.0399999999999991</v>
      </c>
      <c r="C50" s="174">
        <v>10</v>
      </c>
      <c r="D50" s="174">
        <v>13.65</v>
      </c>
      <c r="E50" s="174">
        <v>13.61</v>
      </c>
      <c r="F50" s="174">
        <v>8.26</v>
      </c>
      <c r="G50" s="174">
        <v>6.21</v>
      </c>
      <c r="H50" s="175">
        <v>6.97</v>
      </c>
    </row>
    <row r="51" spans="1:8" x14ac:dyDescent="0.25">
      <c r="A51" s="58">
        <v>43132</v>
      </c>
      <c r="B51" s="171">
        <v>8.0299999999999994</v>
      </c>
      <c r="C51" s="174">
        <v>10</v>
      </c>
      <c r="D51" s="174">
        <v>13.68</v>
      </c>
      <c r="E51" s="174">
        <v>13.75</v>
      </c>
      <c r="F51" s="174">
        <v>8.25</v>
      </c>
      <c r="G51" s="174">
        <v>5.12</v>
      </c>
      <c r="H51" s="175">
        <v>7.01</v>
      </c>
    </row>
    <row r="52" spans="1:8" x14ac:dyDescent="0.25">
      <c r="A52" s="58">
        <v>43160</v>
      </c>
      <c r="B52" s="171">
        <v>8.02</v>
      </c>
      <c r="C52" s="174">
        <v>9.5</v>
      </c>
      <c r="D52" s="174">
        <v>13.49</v>
      </c>
      <c r="E52" s="174">
        <v>13.4</v>
      </c>
      <c r="F52" s="174">
        <v>8.16</v>
      </c>
      <c r="G52" s="174">
        <v>4.9000000000000004</v>
      </c>
      <c r="H52" s="175">
        <v>6.85</v>
      </c>
    </row>
    <row r="53" spans="1:8" x14ac:dyDescent="0.25">
      <c r="A53" s="58">
        <v>43191</v>
      </c>
      <c r="B53" s="171">
        <v>8</v>
      </c>
      <c r="C53" s="174">
        <v>9.5</v>
      </c>
      <c r="D53" s="174">
        <v>13.24</v>
      </c>
      <c r="E53" s="174">
        <v>13.29</v>
      </c>
      <c r="F53" s="174">
        <v>8.17</v>
      </c>
      <c r="G53" s="174">
        <v>5.38</v>
      </c>
      <c r="H53" s="175">
        <v>6.72</v>
      </c>
    </row>
    <row r="54" spans="1:8" x14ac:dyDescent="0.25">
      <c r="A54" s="58">
        <v>43221</v>
      </c>
      <c r="B54" s="171">
        <v>7.96</v>
      </c>
      <c r="C54" s="174">
        <v>9.5</v>
      </c>
      <c r="D54" s="174">
        <v>13.25</v>
      </c>
      <c r="E54" s="174">
        <v>13.3</v>
      </c>
      <c r="F54" s="174">
        <v>8.08</v>
      </c>
      <c r="G54" s="174">
        <v>4.7</v>
      </c>
      <c r="H54" s="175">
        <v>6.64</v>
      </c>
    </row>
    <row r="55" spans="1:8" x14ac:dyDescent="0.25">
      <c r="A55" s="58">
        <v>43252</v>
      </c>
      <c r="B55" s="171">
        <v>7.87</v>
      </c>
      <c r="C55" s="174">
        <v>9.5</v>
      </c>
      <c r="D55" s="174">
        <v>13.22</v>
      </c>
      <c r="E55" s="174">
        <v>13.23</v>
      </c>
      <c r="F55" s="174">
        <v>8.0399999999999991</v>
      </c>
      <c r="G55" s="174">
        <v>5.03</v>
      </c>
      <c r="H55" s="175">
        <v>6.6</v>
      </c>
    </row>
    <row r="56" spans="1:8" x14ac:dyDescent="0.25">
      <c r="A56" s="58">
        <v>43282</v>
      </c>
      <c r="B56" s="171">
        <v>7.69</v>
      </c>
      <c r="C56" s="174">
        <v>9</v>
      </c>
      <c r="D56" s="174">
        <v>13.1</v>
      </c>
      <c r="E56" s="174">
        <v>13.16</v>
      </c>
      <c r="F56" s="174">
        <v>8.01</v>
      </c>
      <c r="G56" s="174">
        <v>4.82</v>
      </c>
      <c r="H56" s="175">
        <v>6.53</v>
      </c>
    </row>
    <row r="57" spans="1:8" x14ac:dyDescent="0.25">
      <c r="A57" s="58">
        <v>43313</v>
      </c>
      <c r="B57" s="171">
        <v>7.64</v>
      </c>
      <c r="C57" s="174">
        <v>9</v>
      </c>
      <c r="D57" s="174">
        <v>12.78</v>
      </c>
      <c r="E57" s="174">
        <v>12.9</v>
      </c>
      <c r="F57" s="174">
        <v>7.78</v>
      </c>
      <c r="G57" s="174">
        <v>6.52</v>
      </c>
      <c r="H57" s="175">
        <v>6.52</v>
      </c>
    </row>
    <row r="58" spans="1:8" x14ac:dyDescent="0.25">
      <c r="A58" s="58">
        <v>43344</v>
      </c>
      <c r="B58" s="171">
        <v>7.64</v>
      </c>
      <c r="C58" s="174">
        <v>9</v>
      </c>
      <c r="D58" s="174">
        <v>12.66</v>
      </c>
      <c r="E58" s="174">
        <v>12.52</v>
      </c>
      <c r="F58" s="174">
        <v>7.76</v>
      </c>
      <c r="G58" s="174">
        <v>4.28</v>
      </c>
      <c r="H58" s="175">
        <v>6.33</v>
      </c>
    </row>
    <row r="59" spans="1:8" x14ac:dyDescent="0.25">
      <c r="A59" s="58">
        <v>43374</v>
      </c>
      <c r="B59" s="171">
        <v>7.56</v>
      </c>
      <c r="C59" s="174">
        <v>9</v>
      </c>
      <c r="D59" s="174">
        <v>12.61</v>
      </c>
      <c r="E59" s="174">
        <v>12.42</v>
      </c>
      <c r="F59" s="174">
        <v>7.63</v>
      </c>
      <c r="G59" s="174">
        <v>3.48</v>
      </c>
      <c r="H59" s="175">
        <v>5.7</v>
      </c>
    </row>
    <row r="60" spans="1:8" x14ac:dyDescent="0.25">
      <c r="A60" s="58">
        <v>43405</v>
      </c>
      <c r="B60" s="171">
        <v>7.36</v>
      </c>
      <c r="C60" s="174">
        <v>9</v>
      </c>
      <c r="D60" s="174">
        <v>12.55</v>
      </c>
      <c r="E60" s="174">
        <v>12.11</v>
      </c>
      <c r="F60" s="174">
        <v>7.41</v>
      </c>
      <c r="G60" s="174">
        <v>4.09</v>
      </c>
      <c r="H60" s="175">
        <v>5.38</v>
      </c>
    </row>
    <row r="61" spans="1:8" x14ac:dyDescent="0.25">
      <c r="A61" s="58">
        <v>43435</v>
      </c>
      <c r="B61" s="171">
        <v>7.34</v>
      </c>
      <c r="C61" s="174">
        <v>9</v>
      </c>
      <c r="D61" s="174">
        <v>12.51</v>
      </c>
      <c r="E61" s="174">
        <v>12.17</v>
      </c>
      <c r="F61" s="174">
        <v>7.41</v>
      </c>
      <c r="G61" s="174">
        <v>8.15</v>
      </c>
      <c r="H61" s="175">
        <v>5.13</v>
      </c>
    </row>
    <row r="62" spans="1:8" x14ac:dyDescent="0.25">
      <c r="A62" s="58">
        <v>43466</v>
      </c>
      <c r="B62" s="171">
        <v>7.19</v>
      </c>
      <c r="C62" s="174">
        <v>9</v>
      </c>
      <c r="D62" s="174">
        <v>12.5</v>
      </c>
      <c r="E62" s="174">
        <v>12.15</v>
      </c>
      <c r="F62" s="174">
        <v>7.34</v>
      </c>
      <c r="G62" s="174">
        <v>3.32</v>
      </c>
      <c r="H62" s="175">
        <v>5.14</v>
      </c>
    </row>
    <row r="63" spans="1:8" x14ac:dyDescent="0.25">
      <c r="A63" s="58">
        <v>43497</v>
      </c>
      <c r="B63" s="171">
        <v>7.02</v>
      </c>
      <c r="C63" s="174">
        <v>9</v>
      </c>
      <c r="D63" s="174">
        <v>12.47</v>
      </c>
      <c r="E63" s="174">
        <v>12.13</v>
      </c>
      <c r="F63" s="174">
        <v>7.28</v>
      </c>
      <c r="G63" s="174">
        <v>2.5099999999999998</v>
      </c>
      <c r="H63" s="175">
        <v>5.16</v>
      </c>
    </row>
    <row r="64" spans="1:8" x14ac:dyDescent="0.25">
      <c r="A64" s="58">
        <v>43525</v>
      </c>
      <c r="B64" s="171">
        <v>7.08</v>
      </c>
      <c r="C64" s="174">
        <v>9</v>
      </c>
      <c r="D64" s="174">
        <v>12.51</v>
      </c>
      <c r="E64" s="174">
        <v>12.13</v>
      </c>
      <c r="F64" s="174">
        <v>7.22</v>
      </c>
      <c r="G64" s="174">
        <v>3.73</v>
      </c>
      <c r="H64" s="175">
        <v>5.05</v>
      </c>
    </row>
    <row r="65" spans="1:8" x14ac:dyDescent="0.25">
      <c r="A65" s="58">
        <v>43556</v>
      </c>
      <c r="B65" s="171">
        <v>7.39</v>
      </c>
      <c r="C65" s="174">
        <v>9</v>
      </c>
      <c r="D65" s="174">
        <v>12.5</v>
      </c>
      <c r="E65" s="174">
        <v>12.15</v>
      </c>
      <c r="F65" s="174">
        <v>7.17</v>
      </c>
      <c r="G65" s="174">
        <v>4.21</v>
      </c>
      <c r="H65" s="175">
        <v>4.75</v>
      </c>
    </row>
    <row r="66" spans="1:8" x14ac:dyDescent="0.25">
      <c r="A66" s="58">
        <v>43586</v>
      </c>
      <c r="B66" s="171">
        <v>7.17</v>
      </c>
      <c r="C66" s="174">
        <v>9</v>
      </c>
      <c r="D66" s="174">
        <v>12.47</v>
      </c>
      <c r="E66" s="174">
        <v>12.13</v>
      </c>
      <c r="F66" s="174">
        <v>7.2</v>
      </c>
      <c r="G66" s="174">
        <v>5.61</v>
      </c>
      <c r="H66" s="175">
        <v>4.71</v>
      </c>
    </row>
    <row r="67" spans="1:8" x14ac:dyDescent="0.25">
      <c r="A67" s="58">
        <v>43617</v>
      </c>
      <c r="B67" s="171">
        <v>6.91</v>
      </c>
      <c r="C67" s="174">
        <v>9</v>
      </c>
      <c r="D67" s="174">
        <v>12.47</v>
      </c>
      <c r="E67" s="174">
        <v>12.12</v>
      </c>
      <c r="F67" s="174">
        <v>7.19</v>
      </c>
      <c r="G67" s="174">
        <v>3</v>
      </c>
      <c r="H67" s="175">
        <v>4.5</v>
      </c>
    </row>
    <row r="68" spans="1:8" x14ac:dyDescent="0.25">
      <c r="A68" s="58">
        <v>43647</v>
      </c>
      <c r="B68" s="171">
        <v>6.62</v>
      </c>
      <c r="C68" s="174">
        <v>9</v>
      </c>
      <c r="D68" s="174">
        <v>12.39</v>
      </c>
      <c r="E68" s="174">
        <v>11.89</v>
      </c>
      <c r="F68" s="174">
        <v>6.97</v>
      </c>
      <c r="G68" s="174">
        <v>2.2799999999999998</v>
      </c>
      <c r="H68" s="175">
        <v>4.97</v>
      </c>
    </row>
    <row r="69" spans="1:8" x14ac:dyDescent="0.25">
      <c r="A69" s="58">
        <v>43678</v>
      </c>
      <c r="B69" s="171">
        <v>6.42</v>
      </c>
      <c r="C69" s="174">
        <v>9</v>
      </c>
      <c r="D69" s="174">
        <v>12.46</v>
      </c>
      <c r="E69" s="174">
        <v>11.97</v>
      </c>
      <c r="F69" s="174">
        <v>6.91</v>
      </c>
      <c r="G69" s="174">
        <v>3.7</v>
      </c>
      <c r="H69" s="175">
        <v>4.7699999999999996</v>
      </c>
    </row>
    <row r="70" spans="1:8" x14ac:dyDescent="0.25">
      <c r="A70" s="58">
        <v>43709</v>
      </c>
      <c r="B70" s="171">
        <v>6.35</v>
      </c>
      <c r="C70" s="174">
        <v>9</v>
      </c>
      <c r="D70" s="174">
        <v>12.47</v>
      </c>
      <c r="E70" s="174">
        <v>11.99</v>
      </c>
      <c r="F70" s="174">
        <v>6.98</v>
      </c>
      <c r="G70" s="174">
        <v>6.66</v>
      </c>
      <c r="H70" s="175">
        <v>4.58</v>
      </c>
    </row>
    <row r="71" spans="1:8" x14ac:dyDescent="0.25">
      <c r="A71" s="58">
        <v>43739</v>
      </c>
      <c r="B71" s="171">
        <v>6.38</v>
      </c>
      <c r="C71" s="174">
        <v>9</v>
      </c>
      <c r="D71" s="174">
        <v>12.43</v>
      </c>
      <c r="E71" s="174">
        <v>11.88</v>
      </c>
      <c r="F71" s="174">
        <v>6.96</v>
      </c>
      <c r="G71" s="174">
        <v>6.86</v>
      </c>
      <c r="H71" s="175">
        <v>4.4400000000000004</v>
      </c>
    </row>
    <row r="72" spans="1:8" x14ac:dyDescent="0.25">
      <c r="A72" s="58">
        <v>43770</v>
      </c>
      <c r="B72" s="171">
        <v>6.65</v>
      </c>
      <c r="C72" s="174">
        <v>8.5</v>
      </c>
      <c r="D72" s="174">
        <v>12.38</v>
      </c>
      <c r="E72" s="174">
        <v>11.63</v>
      </c>
      <c r="F72" s="174">
        <v>6.56</v>
      </c>
      <c r="G72" s="174">
        <v>4.24</v>
      </c>
      <c r="H72" s="175">
        <v>4.47</v>
      </c>
    </row>
    <row r="73" spans="1:8" x14ac:dyDescent="0.25">
      <c r="A73" s="58">
        <v>43800</v>
      </c>
      <c r="B73" s="171">
        <v>7.17</v>
      </c>
      <c r="C73" s="174">
        <v>8.5</v>
      </c>
      <c r="D73" s="174">
        <v>12.24</v>
      </c>
      <c r="E73" s="174">
        <v>11.67</v>
      </c>
      <c r="F73" s="174">
        <v>7.11</v>
      </c>
      <c r="G73" s="174">
        <v>6.03</v>
      </c>
      <c r="H73" s="175">
        <v>4.0199999999999996</v>
      </c>
    </row>
    <row r="74" spans="1:8" x14ac:dyDescent="0.25">
      <c r="A74" s="58">
        <v>43831</v>
      </c>
      <c r="B74" s="171">
        <v>7.23</v>
      </c>
      <c r="C74" s="174">
        <v>8.25</v>
      </c>
      <c r="D74" s="174">
        <v>12.29</v>
      </c>
      <c r="E74" s="174">
        <v>11.97</v>
      </c>
      <c r="F74" s="174">
        <v>7.07</v>
      </c>
      <c r="G74" s="172">
        <v>4.3899999999999997</v>
      </c>
      <c r="H74" s="175">
        <v>4.25</v>
      </c>
    </row>
    <row r="75" spans="1:8" x14ac:dyDescent="0.25">
      <c r="A75" s="58">
        <v>43862</v>
      </c>
      <c r="B75" s="171">
        <v>7.31</v>
      </c>
      <c r="C75" s="174">
        <v>8.25</v>
      </c>
      <c r="D75" s="174">
        <v>12.19</v>
      </c>
      <c r="E75" s="174">
        <v>11.82</v>
      </c>
      <c r="F75" s="174">
        <v>7.06</v>
      </c>
      <c r="G75" s="172">
        <v>4.84</v>
      </c>
      <c r="H75" s="175">
        <v>4.2</v>
      </c>
    </row>
    <row r="76" spans="1:8" x14ac:dyDescent="0.25">
      <c r="A76" s="58">
        <v>43891</v>
      </c>
      <c r="B76" s="171">
        <v>7.29</v>
      </c>
      <c r="C76" s="174">
        <v>7.25</v>
      </c>
      <c r="D76" s="174">
        <v>12.09</v>
      </c>
      <c r="E76" s="174">
        <v>11.79</v>
      </c>
      <c r="F76" s="174">
        <v>7.07</v>
      </c>
      <c r="G76" s="172">
        <v>4.4000000000000004</v>
      </c>
      <c r="H76" s="175">
        <v>4.1500000000000004</v>
      </c>
    </row>
    <row r="77" spans="1:8" x14ac:dyDescent="0.25">
      <c r="A77" s="58">
        <v>43922</v>
      </c>
      <c r="B77" s="171">
        <v>7.21</v>
      </c>
      <c r="C77" s="174">
        <v>7</v>
      </c>
      <c r="D77" s="174">
        <v>11.92</v>
      </c>
      <c r="E77" s="174">
        <v>11.55</v>
      </c>
      <c r="F77" s="174">
        <v>7.01</v>
      </c>
      <c r="G77" s="172">
        <v>5.13</v>
      </c>
      <c r="H77" s="175">
        <v>4.21</v>
      </c>
    </row>
    <row r="78" spans="1:8" x14ac:dyDescent="0.25">
      <c r="A78" s="58">
        <v>43952</v>
      </c>
      <c r="B78" s="171">
        <v>7.27</v>
      </c>
      <c r="C78" s="174">
        <v>7</v>
      </c>
      <c r="D78" s="174">
        <v>11.95</v>
      </c>
      <c r="E78" s="174">
        <v>11.61</v>
      </c>
      <c r="F78" s="174">
        <v>6.96</v>
      </c>
      <c r="G78" s="172">
        <v>3.91</v>
      </c>
      <c r="H78" s="175">
        <v>4.18</v>
      </c>
    </row>
    <row r="79" spans="1:8" x14ac:dyDescent="0.25">
      <c r="A79" s="58">
        <v>43983</v>
      </c>
      <c r="B79" s="171">
        <v>7.14</v>
      </c>
      <c r="C79" s="174">
        <v>7</v>
      </c>
      <c r="D79" s="174">
        <v>11.89</v>
      </c>
      <c r="E79" s="174">
        <v>11.24</v>
      </c>
      <c r="F79" s="174">
        <v>6.86</v>
      </c>
      <c r="G79" s="172">
        <v>3.27</v>
      </c>
      <c r="H79" s="175">
        <v>4.1500000000000004</v>
      </c>
    </row>
    <row r="80" spans="1:8" x14ac:dyDescent="0.25">
      <c r="A80" s="58">
        <v>44013</v>
      </c>
      <c r="B80" s="171">
        <v>6.24</v>
      </c>
      <c r="C80" s="174">
        <v>7</v>
      </c>
      <c r="D80" s="174">
        <v>11.94</v>
      </c>
      <c r="E80" s="174">
        <v>11.18</v>
      </c>
      <c r="F80" s="174">
        <v>6.78</v>
      </c>
      <c r="G80" s="172">
        <v>2.12</v>
      </c>
      <c r="H80" s="175">
        <v>4.1100000000000003</v>
      </c>
    </row>
    <row r="81" spans="1:8" x14ac:dyDescent="0.25">
      <c r="A81" s="58">
        <v>44044</v>
      </c>
      <c r="B81" s="171">
        <v>6.2</v>
      </c>
      <c r="C81" s="174">
        <v>7</v>
      </c>
      <c r="D81" s="174">
        <v>11.94</v>
      </c>
      <c r="E81" s="174">
        <v>11.18</v>
      </c>
      <c r="F81" s="174">
        <v>6.63</v>
      </c>
      <c r="G81" s="172">
        <v>2.56</v>
      </c>
      <c r="H81" s="175">
        <v>4.0999999999999996</v>
      </c>
    </row>
    <row r="82" spans="1:8" x14ac:dyDescent="0.25">
      <c r="A82" s="58">
        <v>44075</v>
      </c>
      <c r="B82" s="171">
        <v>6.29</v>
      </c>
      <c r="C82" s="174">
        <v>7</v>
      </c>
      <c r="D82" s="174">
        <v>11.75</v>
      </c>
      <c r="E82" s="174">
        <v>11.15</v>
      </c>
      <c r="F82" s="174">
        <v>6.41</v>
      </c>
      <c r="G82" s="172">
        <v>2.95</v>
      </c>
      <c r="H82" s="175">
        <v>3.78</v>
      </c>
    </row>
    <row r="83" spans="1:8" x14ac:dyDescent="0.25">
      <c r="A83" s="58">
        <v>44105</v>
      </c>
      <c r="B83" s="171">
        <v>6.49</v>
      </c>
      <c r="C83" s="174">
        <v>7</v>
      </c>
      <c r="D83" s="174">
        <v>11.98</v>
      </c>
      <c r="E83" s="174">
        <v>11.44</v>
      </c>
      <c r="F83" s="174">
        <v>6.26</v>
      </c>
      <c r="G83" s="172">
        <v>2.69</v>
      </c>
      <c r="H83" s="175">
        <v>3.38</v>
      </c>
    </row>
    <row r="84" spans="1:8" x14ac:dyDescent="0.25">
      <c r="A84" s="58">
        <v>44136</v>
      </c>
      <c r="B84" s="171">
        <v>6.69</v>
      </c>
      <c r="C84" s="174">
        <v>7</v>
      </c>
      <c r="D84" s="174">
        <v>11.99</v>
      </c>
      <c r="E84" s="174">
        <v>11.39</v>
      </c>
      <c r="F84" s="174">
        <v>6.31</v>
      </c>
      <c r="G84" s="172">
        <v>3.27</v>
      </c>
      <c r="H84" s="175">
        <v>3.42</v>
      </c>
    </row>
    <row r="85" spans="1:8" x14ac:dyDescent="0.25">
      <c r="A85" s="58">
        <v>44166</v>
      </c>
      <c r="B85" s="171">
        <v>6.9</v>
      </c>
      <c r="C85" s="174">
        <v>7</v>
      </c>
      <c r="D85" s="174">
        <v>12.02</v>
      </c>
      <c r="E85" s="174">
        <v>11.51</v>
      </c>
      <c r="F85" s="174">
        <v>6.3</v>
      </c>
      <c r="G85" s="172">
        <v>5.29</v>
      </c>
      <c r="H85" s="175">
        <v>2.7</v>
      </c>
    </row>
    <row r="86" spans="1:8" x14ac:dyDescent="0.25">
      <c r="A86" s="58">
        <v>44197</v>
      </c>
      <c r="B86" s="171">
        <v>6.92</v>
      </c>
      <c r="C86" s="174">
        <v>7</v>
      </c>
      <c r="D86" s="174">
        <v>12</v>
      </c>
      <c r="E86" s="174">
        <v>11.43</v>
      </c>
      <c r="F86" s="174">
        <v>6.31</v>
      </c>
      <c r="G86" s="172">
        <v>5.12</v>
      </c>
      <c r="H86" s="175">
        <v>2.73</v>
      </c>
    </row>
    <row r="87" spans="1:8" x14ac:dyDescent="0.25">
      <c r="A87" s="58">
        <v>44228</v>
      </c>
      <c r="B87" s="171">
        <v>6.9</v>
      </c>
      <c r="C87" s="174">
        <v>7</v>
      </c>
      <c r="D87" s="174">
        <v>12.02</v>
      </c>
      <c r="E87" s="174">
        <v>11.52</v>
      </c>
      <c r="F87" s="174">
        <v>6.46</v>
      </c>
      <c r="G87" s="172">
        <v>4.49</v>
      </c>
      <c r="H87" s="175">
        <v>3.35</v>
      </c>
    </row>
    <row r="88" spans="1:8" x14ac:dyDescent="0.25">
      <c r="A88" s="58">
        <v>44256</v>
      </c>
      <c r="B88" s="171">
        <v>7.03</v>
      </c>
      <c r="C88" s="174">
        <v>7</v>
      </c>
      <c r="D88" s="174">
        <v>12.05</v>
      </c>
      <c r="E88" s="174">
        <v>11.61</v>
      </c>
      <c r="F88" s="174">
        <v>6.46</v>
      </c>
      <c r="G88" s="172">
        <v>5.23</v>
      </c>
      <c r="H88" s="175">
        <v>3.48</v>
      </c>
    </row>
    <row r="89" spans="1:8" x14ac:dyDescent="0.25">
      <c r="A89" s="58">
        <v>44287</v>
      </c>
      <c r="B89" s="171">
        <v>7.1</v>
      </c>
      <c r="C89" s="174">
        <v>7</v>
      </c>
      <c r="D89" s="174">
        <v>12.08</v>
      </c>
      <c r="E89" s="174">
        <v>11.66</v>
      </c>
      <c r="F89" s="174">
        <v>6.3</v>
      </c>
      <c r="G89" s="172">
        <v>5.12</v>
      </c>
      <c r="H89" s="175">
        <v>2.66</v>
      </c>
    </row>
    <row r="90" spans="1:8" x14ac:dyDescent="0.25">
      <c r="A90" s="58">
        <v>44317</v>
      </c>
      <c r="B90" s="171">
        <v>7.15</v>
      </c>
      <c r="C90" s="174">
        <v>7</v>
      </c>
      <c r="D90" s="174">
        <v>12.06</v>
      </c>
      <c r="E90" s="174">
        <v>11.57</v>
      </c>
      <c r="F90" s="174">
        <v>6.3</v>
      </c>
      <c r="G90" s="172">
        <v>4.62</v>
      </c>
      <c r="H90" s="175">
        <v>2.5499999999999998</v>
      </c>
    </row>
    <row r="91" spans="1:8" x14ac:dyDescent="0.25">
      <c r="A91" s="58">
        <v>44348</v>
      </c>
      <c r="B91" s="171">
        <v>7.03</v>
      </c>
      <c r="C91" s="174">
        <v>7</v>
      </c>
      <c r="D91" s="174">
        <v>12.02</v>
      </c>
      <c r="E91" s="174">
        <v>11.18</v>
      </c>
      <c r="F91" s="174">
        <v>6.37</v>
      </c>
      <c r="G91" s="172">
        <v>4.63</v>
      </c>
      <c r="H91" s="175">
        <v>2.5499999999999998</v>
      </c>
    </row>
    <row r="92" spans="1:8" x14ac:dyDescent="0.25">
      <c r="A92" s="58">
        <v>44378</v>
      </c>
      <c r="B92" s="171">
        <v>6.64</v>
      </c>
      <c r="C92" s="174">
        <v>7</v>
      </c>
      <c r="D92" s="174">
        <v>12.09</v>
      </c>
      <c r="E92" s="174">
        <v>11.44</v>
      </c>
      <c r="F92" s="174">
        <v>6.34</v>
      </c>
      <c r="G92" s="172">
        <v>4.17</v>
      </c>
      <c r="H92" s="175">
        <v>2.5099999999999998</v>
      </c>
    </row>
    <row r="93" spans="1:8" x14ac:dyDescent="0.25">
      <c r="A93" s="58">
        <v>44409</v>
      </c>
      <c r="B93" s="171">
        <v>6.57</v>
      </c>
      <c r="C93" s="174">
        <v>7</v>
      </c>
      <c r="D93" s="174">
        <v>12.12</v>
      </c>
      <c r="E93" s="174">
        <v>11.38</v>
      </c>
      <c r="F93" s="174">
        <v>6.3</v>
      </c>
      <c r="G93" s="172">
        <v>3.1</v>
      </c>
      <c r="H93" s="175">
        <v>2.64</v>
      </c>
    </row>
    <row r="94" spans="1:8" x14ac:dyDescent="0.25">
      <c r="A94" s="58">
        <v>44440</v>
      </c>
      <c r="B94" s="171">
        <v>6.83</v>
      </c>
      <c r="C94" s="174">
        <v>7</v>
      </c>
      <c r="D94" s="174">
        <v>12.1</v>
      </c>
      <c r="E94" s="174">
        <v>11.34</v>
      </c>
      <c r="F94" s="174">
        <v>6.34</v>
      </c>
      <c r="G94" s="172">
        <v>4.7300000000000004</v>
      </c>
      <c r="H94" s="175">
        <v>2.57</v>
      </c>
    </row>
    <row r="95" spans="1:8" x14ac:dyDescent="0.25">
      <c r="A95" s="58">
        <v>44470</v>
      </c>
      <c r="B95" s="171">
        <v>6.95</v>
      </c>
      <c r="C95" s="174">
        <v>7</v>
      </c>
      <c r="D95" s="174">
        <v>12.12</v>
      </c>
      <c r="E95" s="174">
        <v>11.33</v>
      </c>
      <c r="F95" s="174">
        <v>6.39</v>
      </c>
      <c r="G95" s="172">
        <v>5.3</v>
      </c>
      <c r="H95" s="175">
        <v>2.58</v>
      </c>
    </row>
    <row r="96" spans="1:8" x14ac:dyDescent="0.25">
      <c r="A96" s="58">
        <v>44501</v>
      </c>
      <c r="B96" s="171">
        <v>7.1</v>
      </c>
      <c r="C96" s="174">
        <v>7</v>
      </c>
      <c r="D96" s="174">
        <v>12.15</v>
      </c>
      <c r="E96" s="174">
        <v>11.41</v>
      </c>
      <c r="F96" s="174">
        <v>6.43</v>
      </c>
      <c r="G96" s="172">
        <v>4.97</v>
      </c>
      <c r="H96" s="175">
        <v>2.6</v>
      </c>
    </row>
    <row r="97" spans="1:8" x14ac:dyDescent="0.25">
      <c r="A97" s="58">
        <v>44531</v>
      </c>
      <c r="B97" s="171">
        <v>7.26</v>
      </c>
      <c r="C97" s="174">
        <v>7</v>
      </c>
      <c r="D97" s="174">
        <v>12.16</v>
      </c>
      <c r="E97" s="174">
        <v>11.45</v>
      </c>
      <c r="F97" s="174">
        <v>6.5</v>
      </c>
      <c r="G97" s="172">
        <v>5.0199999999999996</v>
      </c>
      <c r="H97" s="175">
        <v>2.5499999999999998</v>
      </c>
    </row>
    <row r="98" spans="1:8" x14ac:dyDescent="0.25">
      <c r="A98" s="58">
        <v>44562</v>
      </c>
      <c r="B98" s="171">
        <v>7.32</v>
      </c>
      <c r="C98" s="174">
        <v>7</v>
      </c>
      <c r="D98" s="174">
        <v>12.12</v>
      </c>
      <c r="E98" s="174">
        <v>11.57</v>
      </c>
      <c r="F98" s="174">
        <v>6.53</v>
      </c>
      <c r="G98" s="174">
        <v>4.3600000000000003</v>
      </c>
      <c r="H98" s="175">
        <v>2.5499999999999998</v>
      </c>
    </row>
    <row r="99" spans="1:8" x14ac:dyDescent="0.25">
      <c r="A99" s="58">
        <v>44593</v>
      </c>
      <c r="B99" s="171">
        <v>7.28</v>
      </c>
      <c r="C99" s="174">
        <v>7</v>
      </c>
      <c r="D99" s="174">
        <v>12.17</v>
      </c>
      <c r="E99" s="174">
        <v>11.63</v>
      </c>
      <c r="F99" s="174">
        <v>6.61</v>
      </c>
      <c r="G99" s="174">
        <v>4.7300000000000004</v>
      </c>
      <c r="H99" s="175">
        <v>2.56</v>
      </c>
    </row>
    <row r="100" spans="1:8" x14ac:dyDescent="0.25">
      <c r="A100" s="58">
        <v>44621</v>
      </c>
      <c r="B100" s="171">
        <v>7.25</v>
      </c>
      <c r="C100" s="174">
        <v>7</v>
      </c>
      <c r="D100" s="174">
        <v>12.15</v>
      </c>
      <c r="E100" s="174">
        <v>11.5</v>
      </c>
      <c r="F100" s="174">
        <v>6.5</v>
      </c>
      <c r="G100" s="174">
        <v>4.72</v>
      </c>
      <c r="H100" s="175">
        <v>2.48</v>
      </c>
    </row>
    <row r="101" spans="1:8" x14ac:dyDescent="0.25">
      <c r="A101" s="58">
        <v>44652</v>
      </c>
      <c r="B101" s="171">
        <v>7.39</v>
      </c>
      <c r="C101" s="174">
        <v>7</v>
      </c>
      <c r="D101" s="174">
        <v>12.2</v>
      </c>
      <c r="E101" s="174">
        <v>11.69</v>
      </c>
      <c r="F101" s="174">
        <v>6.58</v>
      </c>
      <c r="G101" s="174">
        <v>4.67</v>
      </c>
      <c r="H101" s="175">
        <v>2.56</v>
      </c>
    </row>
    <row r="102" spans="1:8" x14ac:dyDescent="0.25">
      <c r="A102" s="58">
        <v>44682</v>
      </c>
      <c r="B102" s="171">
        <v>7.65</v>
      </c>
      <c r="C102" s="174">
        <v>7.5</v>
      </c>
      <c r="D102" s="174">
        <v>12.22</v>
      </c>
      <c r="E102" s="174">
        <v>11.76</v>
      </c>
      <c r="F102" s="174">
        <v>6.59</v>
      </c>
      <c r="G102" s="174">
        <v>4.5999999999999996</v>
      </c>
      <c r="H102" s="175">
        <v>2.52</v>
      </c>
    </row>
    <row r="103" spans="1:8" x14ac:dyDescent="0.25">
      <c r="A103" s="58">
        <v>44713</v>
      </c>
      <c r="B103" s="171">
        <v>7.9</v>
      </c>
      <c r="C103" s="174">
        <v>7.5</v>
      </c>
      <c r="D103" s="174">
        <v>12.27</v>
      </c>
      <c r="E103" s="174">
        <v>11.86</v>
      </c>
      <c r="F103" s="174">
        <v>6.62</v>
      </c>
      <c r="G103" s="174">
        <v>5.0599999999999996</v>
      </c>
      <c r="H103" s="175">
        <v>2.5</v>
      </c>
    </row>
    <row r="104" spans="1:8" x14ac:dyDescent="0.25">
      <c r="A104" s="58">
        <v>44743</v>
      </c>
      <c r="B104" s="171">
        <v>8.2100000000000009</v>
      </c>
      <c r="C104" s="174">
        <v>7.5</v>
      </c>
      <c r="D104" s="174">
        <v>12.35</v>
      </c>
      <c r="E104" s="174">
        <v>12.02</v>
      </c>
      <c r="F104" s="174">
        <v>6.74</v>
      </c>
      <c r="G104" s="174">
        <v>5.5</v>
      </c>
      <c r="H104" s="175">
        <v>2.94</v>
      </c>
    </row>
    <row r="105" spans="1:8" x14ac:dyDescent="0.25">
      <c r="A105" s="58">
        <v>44774</v>
      </c>
      <c r="B105" s="171">
        <v>8.58</v>
      </c>
      <c r="C105" s="174">
        <v>7.5</v>
      </c>
      <c r="D105" s="174">
        <v>12.43</v>
      </c>
      <c r="E105" s="174">
        <v>12.1</v>
      </c>
      <c r="F105" s="174">
        <v>6.93</v>
      </c>
      <c r="G105" s="174">
        <v>5.35</v>
      </c>
      <c r="H105" s="175">
        <v>3.46</v>
      </c>
    </row>
    <row r="106" spans="1:8" x14ac:dyDescent="0.25">
      <c r="A106" s="58">
        <v>44805</v>
      </c>
      <c r="B106" s="171">
        <v>8.92</v>
      </c>
      <c r="C106" s="174">
        <v>8.25</v>
      </c>
      <c r="D106" s="174">
        <v>12.41</v>
      </c>
      <c r="E106" s="174">
        <v>11.99</v>
      </c>
      <c r="F106" s="174">
        <v>6.82</v>
      </c>
      <c r="G106" s="174">
        <v>4.3600000000000003</v>
      </c>
      <c r="H106" s="175">
        <v>3.44</v>
      </c>
    </row>
    <row r="107" spans="1:8" x14ac:dyDescent="0.25">
      <c r="A107" s="58">
        <v>44835</v>
      </c>
      <c r="B107" s="171">
        <v>9.06</v>
      </c>
      <c r="C107" s="174">
        <v>8.25</v>
      </c>
      <c r="D107" s="174">
        <v>12.39</v>
      </c>
      <c r="E107" s="174">
        <v>11.96</v>
      </c>
      <c r="F107" s="174">
        <v>7.01</v>
      </c>
      <c r="G107" s="174">
        <v>5.44</v>
      </c>
      <c r="H107" s="175">
        <v>3.46</v>
      </c>
    </row>
    <row r="108" spans="1:8" x14ac:dyDescent="0.25">
      <c r="A108" s="58">
        <v>44866</v>
      </c>
      <c r="B108" s="171">
        <v>9.19</v>
      </c>
      <c r="C108" s="174">
        <v>8.75</v>
      </c>
      <c r="D108" s="174">
        <v>12.64</v>
      </c>
      <c r="E108" s="174">
        <v>12.16</v>
      </c>
      <c r="F108" s="174">
        <v>7.11</v>
      </c>
      <c r="G108" s="174">
        <v>4.6100000000000003</v>
      </c>
      <c r="H108" s="175">
        <v>3.5</v>
      </c>
    </row>
    <row r="109" spans="1:8" x14ac:dyDescent="0.25">
      <c r="A109" s="58">
        <v>44896</v>
      </c>
      <c r="B109" s="171">
        <v>9.33</v>
      </c>
      <c r="C109" s="174">
        <v>8.75</v>
      </c>
      <c r="D109" s="174">
        <v>12.67</v>
      </c>
      <c r="E109" s="174">
        <v>12.22</v>
      </c>
      <c r="F109" s="174">
        <v>7.17</v>
      </c>
      <c r="G109" s="174">
        <v>5.39</v>
      </c>
      <c r="H109" s="175">
        <v>3.56</v>
      </c>
    </row>
    <row r="110" spans="1:8" x14ac:dyDescent="0.25">
      <c r="A110" s="58">
        <v>44927</v>
      </c>
      <c r="B110" s="171">
        <v>9.44</v>
      </c>
      <c r="C110" s="174">
        <v>8.75</v>
      </c>
      <c r="D110" s="174">
        <v>12.77</v>
      </c>
      <c r="E110" s="174">
        <v>12.34</v>
      </c>
      <c r="F110" s="174">
        <v>7.47</v>
      </c>
      <c r="G110" s="174">
        <v>5.89</v>
      </c>
      <c r="H110" s="175">
        <v>3.6</v>
      </c>
    </row>
    <row r="111" spans="1:8" x14ac:dyDescent="0.25">
      <c r="A111" s="58">
        <v>44958</v>
      </c>
      <c r="B111" s="171">
        <v>9.6199999999999992</v>
      </c>
      <c r="C111" s="174">
        <v>8.75</v>
      </c>
      <c r="D111" s="174">
        <v>13.06</v>
      </c>
      <c r="E111" s="174">
        <v>12.62</v>
      </c>
      <c r="F111" s="174">
        <v>7.54</v>
      </c>
      <c r="G111" s="174">
        <v>6.42</v>
      </c>
      <c r="H111" s="175">
        <v>3.58</v>
      </c>
    </row>
    <row r="112" spans="1:8" x14ac:dyDescent="0.25">
      <c r="A112" s="58">
        <v>44986</v>
      </c>
      <c r="B112" s="171">
        <v>9.76</v>
      </c>
      <c r="C112" s="174">
        <v>9.5</v>
      </c>
      <c r="D112" s="174">
        <v>13.09</v>
      </c>
      <c r="E112" s="174">
        <v>12.69</v>
      </c>
      <c r="F112" s="174">
        <v>7.6</v>
      </c>
      <c r="G112" s="174">
        <v>7.05</v>
      </c>
      <c r="H112" s="175">
        <v>3.55</v>
      </c>
    </row>
    <row r="113" spans="1:8" x14ac:dyDescent="0.25">
      <c r="A113" s="58">
        <v>45017</v>
      </c>
      <c r="B113" s="171">
        <v>10.039999999999999</v>
      </c>
      <c r="C113" s="174">
        <v>9.5</v>
      </c>
      <c r="D113" s="174">
        <v>13.1</v>
      </c>
      <c r="E113" s="174">
        <v>12.71</v>
      </c>
      <c r="F113" s="174">
        <v>7.69</v>
      </c>
      <c r="G113" s="174">
        <v>8.5500000000000007</v>
      </c>
      <c r="H113" s="175">
        <v>3.59</v>
      </c>
    </row>
    <row r="114" spans="1:8" x14ac:dyDescent="0.25">
      <c r="A114" s="58">
        <v>45047</v>
      </c>
      <c r="B114" s="171">
        <v>10.47</v>
      </c>
      <c r="C114" s="174">
        <v>9.5</v>
      </c>
      <c r="D114" s="174">
        <v>13.21</v>
      </c>
      <c r="E114" s="174">
        <v>12.64</v>
      </c>
      <c r="F114" s="174">
        <v>7.61</v>
      </c>
      <c r="G114" s="174">
        <v>9.36</v>
      </c>
      <c r="H114" s="175">
        <v>3.92</v>
      </c>
    </row>
    <row r="115" spans="1:8" x14ac:dyDescent="0.25">
      <c r="A115" s="58">
        <v>45078</v>
      </c>
      <c r="B115" s="171">
        <v>11.49</v>
      </c>
      <c r="C115" s="174">
        <v>10.5</v>
      </c>
      <c r="D115" s="174">
        <v>13.31</v>
      </c>
      <c r="E115" s="174">
        <v>12.83</v>
      </c>
      <c r="F115" s="174">
        <v>7.8</v>
      </c>
      <c r="G115" s="174">
        <v>9.48</v>
      </c>
      <c r="H115" s="175">
        <v>3.92</v>
      </c>
    </row>
    <row r="116" spans="1:8" x14ac:dyDescent="0.25">
      <c r="A116" s="58">
        <v>45108</v>
      </c>
      <c r="B116" s="171">
        <v>12.12</v>
      </c>
      <c r="C116" s="174">
        <v>10.5</v>
      </c>
      <c r="D116" s="174">
        <v>13.5</v>
      </c>
      <c r="E116" s="174">
        <v>12.84</v>
      </c>
      <c r="F116" s="174">
        <v>8.1</v>
      </c>
      <c r="G116" s="174">
        <v>10.34</v>
      </c>
      <c r="H116" s="175">
        <v>3.97</v>
      </c>
    </row>
    <row r="117" spans="1:8" x14ac:dyDescent="0.25">
      <c r="A117" s="58">
        <v>45139</v>
      </c>
      <c r="B117" s="171">
        <v>13.25</v>
      </c>
      <c r="C117" s="174">
        <v>10.5</v>
      </c>
      <c r="D117" s="174">
        <v>13.83</v>
      </c>
      <c r="E117" s="174">
        <v>13.24</v>
      </c>
      <c r="F117" s="174">
        <v>8.39</v>
      </c>
      <c r="G117" s="174">
        <v>12.57</v>
      </c>
      <c r="H117" s="175">
        <v>4.05</v>
      </c>
    </row>
    <row r="118" spans="1:8" x14ac:dyDescent="0.25">
      <c r="A118" s="58">
        <v>45170</v>
      </c>
      <c r="B118" s="171">
        <v>14.38</v>
      </c>
      <c r="C118" s="174">
        <v>10.5</v>
      </c>
      <c r="D118" s="174">
        <v>13.98</v>
      </c>
      <c r="E118" s="174">
        <v>13.62</v>
      </c>
      <c r="F118" s="174">
        <v>8.64</v>
      </c>
      <c r="G118" s="174">
        <v>12.36</v>
      </c>
      <c r="H118" s="175">
        <v>4</v>
      </c>
    </row>
    <row r="119" spans="1:8" x14ac:dyDescent="0.25">
      <c r="A119" s="58">
        <v>45200</v>
      </c>
      <c r="B119" s="171">
        <v>14.96</v>
      </c>
      <c r="C119" s="174">
        <v>10.5</v>
      </c>
      <c r="D119" s="174">
        <v>14.16</v>
      </c>
      <c r="E119" s="174">
        <v>14.09</v>
      </c>
      <c r="F119" s="174">
        <v>9.11</v>
      </c>
      <c r="G119" s="174">
        <v>12.7</v>
      </c>
      <c r="H119" s="175">
        <v>3.98</v>
      </c>
    </row>
    <row r="120" spans="1:8" x14ac:dyDescent="0.25">
      <c r="A120" s="58">
        <v>45231</v>
      </c>
      <c r="B120" s="171">
        <v>15.32</v>
      </c>
      <c r="C120" s="174">
        <v>10.5</v>
      </c>
      <c r="D120" s="174">
        <v>14.43</v>
      </c>
      <c r="E120" s="174">
        <v>14.29</v>
      </c>
      <c r="F120" s="174">
        <v>9.48</v>
      </c>
      <c r="G120" s="174">
        <v>11.32</v>
      </c>
      <c r="H120" s="175">
        <v>4.01</v>
      </c>
    </row>
    <row r="121" spans="1:8" x14ac:dyDescent="0.25">
      <c r="A121" s="58">
        <v>45261</v>
      </c>
      <c r="B121" s="171">
        <v>15.7</v>
      </c>
      <c r="C121" s="174">
        <v>12.5</v>
      </c>
      <c r="D121" s="174">
        <v>14.63</v>
      </c>
      <c r="E121" s="174">
        <v>14.65</v>
      </c>
      <c r="F121" s="174">
        <v>10.1</v>
      </c>
      <c r="G121" s="174">
        <v>11.65</v>
      </c>
      <c r="H121" s="175">
        <v>4.24</v>
      </c>
    </row>
    <row r="122" spans="1:8" x14ac:dyDescent="0.25">
      <c r="A122" s="58">
        <v>45292</v>
      </c>
      <c r="B122" s="174">
        <v>16.14</v>
      </c>
      <c r="C122" s="174">
        <v>12.5</v>
      </c>
      <c r="D122" s="174">
        <v>15.2</v>
      </c>
      <c r="E122" s="174">
        <v>15.11</v>
      </c>
      <c r="F122" s="174">
        <v>10.18</v>
      </c>
      <c r="G122" s="174">
        <v>13.65</v>
      </c>
      <c r="H122" s="175">
        <v>3.69</v>
      </c>
    </row>
    <row r="123" spans="1:8" x14ac:dyDescent="0.25">
      <c r="A123" s="58">
        <v>45323</v>
      </c>
      <c r="B123" s="174">
        <v>16.510000000000002</v>
      </c>
      <c r="C123" s="174">
        <v>13</v>
      </c>
      <c r="D123" s="174">
        <v>15.88</v>
      </c>
      <c r="E123" s="174">
        <v>15.55</v>
      </c>
      <c r="F123" s="174">
        <v>10.32</v>
      </c>
      <c r="G123" s="174">
        <v>13.59</v>
      </c>
      <c r="H123" s="175">
        <v>3.33</v>
      </c>
    </row>
    <row r="124" spans="1:8" x14ac:dyDescent="0.25">
      <c r="A124" s="58">
        <v>45352</v>
      </c>
      <c r="B124" s="174">
        <v>16.68</v>
      </c>
      <c r="C124" s="174">
        <v>13</v>
      </c>
      <c r="D124" s="174">
        <v>16.28</v>
      </c>
      <c r="E124" s="174">
        <v>15.97</v>
      </c>
      <c r="F124" s="174">
        <v>10.52</v>
      </c>
      <c r="G124" s="174">
        <v>13.42</v>
      </c>
      <c r="H124" s="175">
        <v>3.9</v>
      </c>
    </row>
    <row r="125" spans="1:8" x14ac:dyDescent="0.25">
      <c r="A125" s="58">
        <v>45383</v>
      </c>
      <c r="B125" s="174">
        <v>16.16</v>
      </c>
      <c r="C125" s="174">
        <v>13</v>
      </c>
      <c r="D125" s="174">
        <v>16.45</v>
      </c>
      <c r="E125" s="174">
        <v>16.37</v>
      </c>
      <c r="F125" s="174">
        <v>10.77</v>
      </c>
      <c r="G125" s="174">
        <v>13.7</v>
      </c>
      <c r="H125" s="175">
        <v>4.1399999999999997</v>
      </c>
    </row>
    <row r="126" spans="1:8" x14ac:dyDescent="0.25">
      <c r="A126" s="58">
        <v>45413</v>
      </c>
      <c r="B126" s="174">
        <v>15.91</v>
      </c>
      <c r="C126" s="174">
        <v>13</v>
      </c>
      <c r="D126" s="174">
        <v>16.600000000000001</v>
      </c>
      <c r="E126" s="174">
        <v>16.52</v>
      </c>
      <c r="F126" s="174">
        <v>11.13</v>
      </c>
      <c r="G126" s="174">
        <v>13.62</v>
      </c>
      <c r="H126" s="175">
        <v>4.45</v>
      </c>
    </row>
    <row r="127" spans="1:8" x14ac:dyDescent="0.25">
      <c r="A127" s="58">
        <v>45444</v>
      </c>
      <c r="B127" s="174">
        <v>15.97</v>
      </c>
      <c r="C127" s="174">
        <v>13</v>
      </c>
      <c r="D127" s="174">
        <v>16.850000000000001</v>
      </c>
      <c r="E127" s="174">
        <v>16.78</v>
      </c>
      <c r="F127" s="174">
        <v>11.48</v>
      </c>
      <c r="G127" s="174">
        <v>13.14</v>
      </c>
      <c r="H127" s="175">
        <v>5.1100000000000003</v>
      </c>
    </row>
    <row r="128" spans="1:8" x14ac:dyDescent="0.25">
      <c r="A128" s="58">
        <v>45474</v>
      </c>
      <c r="B128" s="174">
        <v>16</v>
      </c>
      <c r="C128" s="174">
        <v>13</v>
      </c>
      <c r="D128" s="174">
        <v>16.84</v>
      </c>
      <c r="E128" s="174">
        <v>16.43</v>
      </c>
      <c r="F128" s="174">
        <v>11.28</v>
      </c>
      <c r="G128" s="174">
        <v>13.17</v>
      </c>
      <c r="H128" s="175">
        <v>4.5599999999999996</v>
      </c>
    </row>
    <row r="129" spans="1:8" x14ac:dyDescent="0.25">
      <c r="A129" s="58">
        <v>45505</v>
      </c>
      <c r="B129" s="174">
        <v>15.85</v>
      </c>
      <c r="C129" s="174">
        <v>12.75</v>
      </c>
      <c r="D129" s="174">
        <v>16.84</v>
      </c>
      <c r="E129" s="174">
        <v>16.39</v>
      </c>
      <c r="F129" s="174">
        <v>11.59</v>
      </c>
      <c r="G129" s="174">
        <v>13.01</v>
      </c>
      <c r="H129" s="175">
        <v>4.62</v>
      </c>
    </row>
    <row r="130" spans="1:8" x14ac:dyDescent="0.25">
      <c r="A130" s="58">
        <v>45536</v>
      </c>
      <c r="B130" s="174">
        <v>15.75</v>
      </c>
      <c r="C130" s="174">
        <v>12.75</v>
      </c>
      <c r="D130" s="174">
        <v>16.91</v>
      </c>
      <c r="E130" s="174">
        <v>16.829999999999998</v>
      </c>
      <c r="F130" s="174">
        <v>11.24</v>
      </c>
      <c r="G130" s="174">
        <v>12.67</v>
      </c>
      <c r="H130" s="175">
        <v>3.57</v>
      </c>
    </row>
    <row r="131" spans="1:8" x14ac:dyDescent="0.25">
      <c r="A131" s="58">
        <v>45566</v>
      </c>
      <c r="B131" s="176">
        <v>14.97</v>
      </c>
      <c r="C131" s="176">
        <v>12</v>
      </c>
      <c r="D131" s="176">
        <v>17.149999999999999</v>
      </c>
      <c r="E131" s="176">
        <v>16.600000000000001</v>
      </c>
      <c r="F131" s="176">
        <v>11.01</v>
      </c>
      <c r="G131" s="176">
        <v>12.07</v>
      </c>
      <c r="H131" s="175">
        <v>4.4800000000000004</v>
      </c>
    </row>
    <row r="132" spans="1:8" x14ac:dyDescent="0.25">
      <c r="A132" s="58">
        <v>45597</v>
      </c>
      <c r="B132" s="176">
        <v>13.06</v>
      </c>
      <c r="C132" s="176">
        <v>12</v>
      </c>
      <c r="D132" s="176">
        <v>17.22</v>
      </c>
      <c r="E132" s="176">
        <v>16.53</v>
      </c>
      <c r="F132" s="176">
        <v>10.41</v>
      </c>
      <c r="G132" s="176">
        <v>11.99</v>
      </c>
      <c r="H132" s="175">
        <v>3.54</v>
      </c>
    </row>
    <row r="133" spans="1:8" x14ac:dyDescent="0.25">
      <c r="A133" s="58">
        <v>45627</v>
      </c>
      <c r="B133" s="176">
        <v>10.32</v>
      </c>
      <c r="C133" s="176">
        <v>11.25</v>
      </c>
      <c r="D133" s="176">
        <v>16.89</v>
      </c>
      <c r="E133" s="176">
        <v>15.75</v>
      </c>
      <c r="F133" s="176">
        <v>10.45</v>
      </c>
      <c r="G133" s="176">
        <v>11.45</v>
      </c>
      <c r="H133" s="175">
        <v>4.25</v>
      </c>
    </row>
    <row r="134" spans="1:8" x14ac:dyDescent="0.25">
      <c r="A134" s="58">
        <v>45658</v>
      </c>
      <c r="B134" s="176">
        <v>9.6300000000000008</v>
      </c>
      <c r="C134" s="176">
        <v>11.25</v>
      </c>
      <c r="D134" s="176">
        <v>16.64</v>
      </c>
      <c r="E134" s="176">
        <v>15.38</v>
      </c>
      <c r="F134" s="176">
        <v>10.050000000000001</v>
      </c>
      <c r="G134" s="176">
        <v>11.21</v>
      </c>
      <c r="H134" s="177">
        <v>4.08</v>
      </c>
    </row>
    <row r="135" spans="1:8" x14ac:dyDescent="0.25">
      <c r="A135" s="58">
        <v>45689</v>
      </c>
      <c r="B135" s="176">
        <v>9.14</v>
      </c>
      <c r="C135" s="176">
        <v>10.75</v>
      </c>
      <c r="D135" s="176">
        <v>16.41</v>
      </c>
      <c r="E135" s="176">
        <v>15.1</v>
      </c>
      <c r="F135" s="176">
        <v>9.76</v>
      </c>
      <c r="G135" s="176">
        <v>10.68</v>
      </c>
      <c r="H135" s="177">
        <v>4.0199999999999996</v>
      </c>
    </row>
    <row r="136" spans="1:8" x14ac:dyDescent="0.25">
      <c r="A136" s="58">
        <v>45717</v>
      </c>
      <c r="B136" s="176">
        <v>8.8800000000000008</v>
      </c>
      <c r="C136" s="176">
        <v>10.75</v>
      </c>
      <c r="D136" s="176">
        <v>15.77</v>
      </c>
      <c r="E136" s="176">
        <v>14.33</v>
      </c>
      <c r="F136" s="176">
        <v>9.33</v>
      </c>
      <c r="G136" s="176">
        <v>10.68</v>
      </c>
      <c r="H136" s="177">
        <v>3.09</v>
      </c>
    </row>
    <row r="137" spans="1:8" x14ac:dyDescent="0.25">
      <c r="A137" s="58">
        <v>45748</v>
      </c>
      <c r="B137" s="176">
        <v>8.51</v>
      </c>
      <c r="C137" s="176">
        <v>10</v>
      </c>
      <c r="D137" s="176">
        <v>15.65</v>
      </c>
      <c r="E137" s="176">
        <v>14.08</v>
      </c>
      <c r="F137" s="176">
        <v>8.8699999999999992</v>
      </c>
      <c r="G137" s="176">
        <v>10.14</v>
      </c>
      <c r="H137" s="177">
        <v>3.66</v>
      </c>
    </row>
    <row r="138" spans="1:8" x14ac:dyDescent="0.25">
      <c r="A138" s="58">
        <v>45778</v>
      </c>
      <c r="B138" s="176">
        <v>8.3699999999999992</v>
      </c>
      <c r="C138" s="176">
        <v>8.59</v>
      </c>
      <c r="D138" s="176">
        <v>10.01</v>
      </c>
      <c r="E138" s="176">
        <v>10</v>
      </c>
      <c r="F138" s="176">
        <v>9.86</v>
      </c>
      <c r="G138" s="176">
        <v>8.6999999999999993</v>
      </c>
      <c r="H138" s="177">
        <v>3.31</v>
      </c>
    </row>
    <row r="139" spans="1:8" x14ac:dyDescent="0.25">
      <c r="A139" s="58">
        <v>45809</v>
      </c>
      <c r="B139" s="176">
        <v>8.2100000000000009</v>
      </c>
      <c r="C139" s="176">
        <v>8.51</v>
      </c>
      <c r="D139" s="176">
        <v>9.84</v>
      </c>
      <c r="E139" s="176">
        <v>9.75</v>
      </c>
      <c r="F139" s="176">
        <v>9.7200000000000006</v>
      </c>
      <c r="G139" s="176">
        <v>8.3699999999999992</v>
      </c>
      <c r="H139" s="177">
        <v>3.76</v>
      </c>
    </row>
    <row r="140" spans="1:8" x14ac:dyDescent="0.25">
      <c r="A140" s="58">
        <v>45839</v>
      </c>
      <c r="B140" s="176">
        <v>8.1300000000000008</v>
      </c>
      <c r="C140" s="176">
        <v>9.75</v>
      </c>
      <c r="D140" s="176"/>
      <c r="E140" s="176"/>
      <c r="F140" s="176"/>
      <c r="G140" s="176"/>
      <c r="H140" s="177"/>
    </row>
    <row r="141" spans="1:8" x14ac:dyDescent="0.25">
      <c r="A141" s="58"/>
      <c r="B141" s="176"/>
      <c r="C141" s="176"/>
      <c r="D141" s="176"/>
      <c r="E141" s="176"/>
      <c r="F141" s="176"/>
      <c r="G141" s="176"/>
      <c r="H141" s="17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B951-1355-4C1F-87A7-B851BE5388B3}">
  <dimension ref="A2:I226"/>
  <sheetViews>
    <sheetView workbookViewId="0">
      <pane ySplit="3" topLeftCell="A220" activePane="bottomLeft" state="frozen"/>
      <selection pane="bottomLeft" activeCell="D3" sqref="D3"/>
    </sheetView>
  </sheetViews>
  <sheetFormatPr defaultRowHeight="11.5" x14ac:dyDescent="0.25"/>
  <cols>
    <col min="1" max="1" width="8.90625" style="1" bestFit="1" customWidth="1"/>
    <col min="2" max="2" width="13.453125" style="1" bestFit="1" customWidth="1"/>
    <col min="3" max="3" width="15.6328125" style="1" bestFit="1" customWidth="1"/>
    <col min="4" max="4" width="16.54296875" style="1" bestFit="1" customWidth="1"/>
    <col min="5" max="5" width="14.81640625" style="1" bestFit="1" customWidth="1"/>
    <col min="6" max="16384" width="8.7265625" style="1"/>
  </cols>
  <sheetData>
    <row r="2" spans="1:5" x14ac:dyDescent="0.25">
      <c r="A2" s="189" t="s">
        <v>33</v>
      </c>
      <c r="B2" s="69" t="s">
        <v>81</v>
      </c>
      <c r="C2" s="69" t="s">
        <v>81</v>
      </c>
      <c r="D2" s="69" t="s">
        <v>34</v>
      </c>
      <c r="E2" s="187" t="s">
        <v>70</v>
      </c>
    </row>
    <row r="3" spans="1:5" ht="23" x14ac:dyDescent="0.25">
      <c r="A3" s="190"/>
      <c r="B3" s="70" t="s">
        <v>82</v>
      </c>
      <c r="C3" s="70" t="s">
        <v>83</v>
      </c>
      <c r="D3" s="70" t="s">
        <v>84</v>
      </c>
      <c r="E3" s="188"/>
    </row>
    <row r="4" spans="1:5" x14ac:dyDescent="0.25">
      <c r="A4" s="58">
        <v>38991</v>
      </c>
      <c r="B4" s="67">
        <v>76439</v>
      </c>
      <c r="C4" s="68">
        <v>161.24700000000001</v>
      </c>
      <c r="D4" s="67">
        <v>13089.359</v>
      </c>
      <c r="E4" s="71">
        <v>5314.4</v>
      </c>
    </row>
    <row r="5" spans="1:5" x14ac:dyDescent="0.25">
      <c r="A5" s="58">
        <v>39022</v>
      </c>
      <c r="B5" s="67">
        <v>82038</v>
      </c>
      <c r="C5" s="68">
        <v>169.90199999999999</v>
      </c>
      <c r="D5" s="67">
        <v>13648.647999999999</v>
      </c>
      <c r="E5" s="71">
        <v>5615.2</v>
      </c>
    </row>
    <row r="6" spans="1:5" x14ac:dyDescent="0.25">
      <c r="A6" s="58">
        <v>39052</v>
      </c>
      <c r="B6" s="67">
        <v>57458</v>
      </c>
      <c r="C6" s="68">
        <v>77.424000000000007</v>
      </c>
      <c r="D6" s="67">
        <v>5770.6689999999999</v>
      </c>
      <c r="E6" s="71">
        <v>5645.7</v>
      </c>
    </row>
    <row r="7" spans="1:5" x14ac:dyDescent="0.25">
      <c r="A7" s="58">
        <v>39083</v>
      </c>
      <c r="B7" s="67">
        <v>114853</v>
      </c>
      <c r="C7" s="68">
        <v>136.31399999999999</v>
      </c>
      <c r="D7" s="67">
        <v>10482.891</v>
      </c>
      <c r="E7" s="71">
        <v>5774.3</v>
      </c>
    </row>
    <row r="8" spans="1:5" x14ac:dyDescent="0.25">
      <c r="A8" s="58">
        <v>39114</v>
      </c>
      <c r="B8" s="67">
        <v>83863</v>
      </c>
      <c r="C8" s="68">
        <v>109.081</v>
      </c>
      <c r="D8" s="67">
        <v>7763.8559999999998</v>
      </c>
      <c r="E8" s="71">
        <v>5387.3</v>
      </c>
    </row>
    <row r="9" spans="1:5" x14ac:dyDescent="0.25">
      <c r="A9" s="58">
        <v>39142</v>
      </c>
      <c r="B9" s="67">
        <v>64249</v>
      </c>
      <c r="C9" s="68">
        <v>114.218</v>
      </c>
      <c r="D9" s="67">
        <v>6984.7719999999999</v>
      </c>
      <c r="E9" s="71">
        <v>5133.7</v>
      </c>
    </row>
    <row r="10" spans="1:5" x14ac:dyDescent="0.25">
      <c r="A10" s="58">
        <v>39173</v>
      </c>
      <c r="B10" s="67">
        <v>62102</v>
      </c>
      <c r="C10" s="68">
        <v>87.454999999999998</v>
      </c>
      <c r="D10" s="67">
        <v>4342.38</v>
      </c>
      <c r="E10" s="71">
        <v>5148.1000000000004</v>
      </c>
    </row>
    <row r="11" spans="1:5" x14ac:dyDescent="0.25">
      <c r="A11" s="58">
        <v>39203</v>
      </c>
      <c r="B11" s="67">
        <v>53598</v>
      </c>
      <c r="C11" s="68">
        <v>123.724</v>
      </c>
      <c r="D11" s="67">
        <v>6224.924</v>
      </c>
      <c r="E11" s="71">
        <v>5001.8</v>
      </c>
    </row>
    <row r="12" spans="1:5" x14ac:dyDescent="0.25">
      <c r="A12" s="58">
        <v>39234</v>
      </c>
      <c r="B12" s="67">
        <v>70606</v>
      </c>
      <c r="C12" s="68">
        <v>151.13</v>
      </c>
      <c r="D12" s="67">
        <v>6079.4279999999999</v>
      </c>
      <c r="E12" s="71">
        <v>5146.7</v>
      </c>
    </row>
    <row r="13" spans="1:5" x14ac:dyDescent="0.25">
      <c r="A13" s="58">
        <v>39264</v>
      </c>
      <c r="B13" s="67">
        <v>74162</v>
      </c>
      <c r="C13" s="68">
        <v>168.363</v>
      </c>
      <c r="D13" s="67">
        <v>6442.1859999999997</v>
      </c>
      <c r="E13" s="71">
        <v>5340.1</v>
      </c>
    </row>
    <row r="14" spans="1:5" x14ac:dyDescent="0.25">
      <c r="A14" s="58">
        <v>39295</v>
      </c>
      <c r="B14" s="67">
        <v>96045</v>
      </c>
      <c r="C14" s="68">
        <v>248.136</v>
      </c>
      <c r="D14" s="67">
        <v>9251.1949999999997</v>
      </c>
      <c r="E14" s="71">
        <v>5372</v>
      </c>
    </row>
    <row r="15" spans="1:5" x14ac:dyDescent="0.25">
      <c r="A15" s="58">
        <v>39326</v>
      </c>
      <c r="B15" s="67">
        <v>140762</v>
      </c>
      <c r="C15" s="68">
        <v>289.30900000000003</v>
      </c>
      <c r="D15" s="67">
        <v>9901.9689999999991</v>
      </c>
      <c r="E15" s="71">
        <v>5146.5</v>
      </c>
    </row>
    <row r="16" spans="1:5" x14ac:dyDescent="0.25">
      <c r="A16" s="58">
        <v>39356</v>
      </c>
      <c r="B16" s="67">
        <v>86422</v>
      </c>
      <c r="C16" s="68">
        <v>183.61099999999999</v>
      </c>
      <c r="D16" s="67">
        <v>7214.0169999999998</v>
      </c>
      <c r="E16" s="71">
        <v>4971</v>
      </c>
    </row>
    <row r="17" spans="1:5" x14ac:dyDescent="0.25">
      <c r="A17" s="58">
        <v>39387</v>
      </c>
      <c r="B17" s="67">
        <v>73780</v>
      </c>
      <c r="C17" s="68">
        <v>185.85300000000001</v>
      </c>
      <c r="D17" s="67">
        <v>7914.8019999999997</v>
      </c>
      <c r="E17" s="71">
        <v>5234.5</v>
      </c>
    </row>
    <row r="18" spans="1:5" x14ac:dyDescent="0.25">
      <c r="A18" s="58">
        <v>39417</v>
      </c>
      <c r="B18" s="67">
        <v>53106</v>
      </c>
      <c r="C18" s="68">
        <v>140.80600000000001</v>
      </c>
      <c r="D18" s="67">
        <v>6017.9889999999996</v>
      </c>
      <c r="E18" s="71">
        <v>5444.8</v>
      </c>
    </row>
    <row r="19" spans="1:5" x14ac:dyDescent="0.25">
      <c r="A19" s="58">
        <v>39448</v>
      </c>
      <c r="B19" s="67">
        <v>69754</v>
      </c>
      <c r="C19" s="68">
        <v>197.13800000000001</v>
      </c>
      <c r="D19" s="67">
        <v>7046.1379999999999</v>
      </c>
      <c r="E19" s="71">
        <v>4712.7</v>
      </c>
    </row>
    <row r="20" spans="1:5" x14ac:dyDescent="0.25">
      <c r="A20" s="58">
        <v>39479</v>
      </c>
      <c r="B20" s="67">
        <v>74615</v>
      </c>
      <c r="C20" s="68">
        <v>198.833</v>
      </c>
      <c r="D20" s="67">
        <v>8011.26</v>
      </c>
      <c r="E20" s="71">
        <v>5072.3999999999996</v>
      </c>
    </row>
    <row r="21" spans="1:5" x14ac:dyDescent="0.25">
      <c r="A21" s="58">
        <v>39508</v>
      </c>
      <c r="B21" s="67">
        <v>60038</v>
      </c>
      <c r="C21" s="68">
        <v>180.64400000000001</v>
      </c>
      <c r="D21" s="67">
        <v>7320.5469999999996</v>
      </c>
      <c r="E21" s="71">
        <v>4843.2</v>
      </c>
    </row>
    <row r="22" spans="1:5" x14ac:dyDescent="0.25">
      <c r="A22" s="58">
        <v>39539</v>
      </c>
      <c r="B22" s="67">
        <v>57526</v>
      </c>
      <c r="C22" s="68">
        <v>141.76599999999999</v>
      </c>
      <c r="D22" s="67">
        <v>5635.57</v>
      </c>
      <c r="E22" s="71">
        <v>5336</v>
      </c>
    </row>
    <row r="23" spans="1:5" x14ac:dyDescent="0.25">
      <c r="A23" s="58">
        <v>39569</v>
      </c>
      <c r="B23" s="67">
        <v>71959</v>
      </c>
      <c r="C23" s="68">
        <v>168.03399999999999</v>
      </c>
      <c r="D23" s="67">
        <v>6836.652</v>
      </c>
      <c r="E23" s="71">
        <v>5175.8</v>
      </c>
    </row>
    <row r="24" spans="1:5" x14ac:dyDescent="0.25">
      <c r="A24" s="58">
        <v>39600</v>
      </c>
      <c r="B24" s="67">
        <v>143942</v>
      </c>
      <c r="C24" s="68">
        <v>2154.8969999999999</v>
      </c>
      <c r="D24" s="67">
        <v>22130.018</v>
      </c>
      <c r="E24" s="71">
        <v>5185.6000000000004</v>
      </c>
    </row>
    <row r="25" spans="1:5" x14ac:dyDescent="0.25">
      <c r="A25" s="58">
        <v>39630</v>
      </c>
      <c r="B25" s="67">
        <v>132507</v>
      </c>
      <c r="C25" s="68">
        <v>983.74699999999996</v>
      </c>
      <c r="D25" s="67">
        <v>14282.189</v>
      </c>
      <c r="E25" s="71">
        <v>4868.3</v>
      </c>
    </row>
    <row r="26" spans="1:5" x14ac:dyDescent="0.25">
      <c r="A26" s="58">
        <v>39661</v>
      </c>
      <c r="B26" s="67">
        <v>83372</v>
      </c>
      <c r="C26" s="68">
        <v>490.81</v>
      </c>
      <c r="D26" s="67">
        <v>7490.223</v>
      </c>
      <c r="E26" s="71">
        <v>4648.8</v>
      </c>
    </row>
    <row r="27" spans="1:5" x14ac:dyDescent="0.25">
      <c r="A27" s="58">
        <v>39692</v>
      </c>
      <c r="B27" s="67">
        <v>66060</v>
      </c>
      <c r="C27" s="68">
        <v>485.28300000000002</v>
      </c>
      <c r="D27" s="67">
        <v>6787.8239999999996</v>
      </c>
      <c r="E27" s="71">
        <v>4180.3999999999996</v>
      </c>
    </row>
    <row r="28" spans="1:5" x14ac:dyDescent="0.25">
      <c r="A28" s="58">
        <v>39722</v>
      </c>
      <c r="B28" s="67">
        <v>44190</v>
      </c>
      <c r="C28" s="68">
        <v>393.53</v>
      </c>
      <c r="D28" s="67">
        <v>3642.41</v>
      </c>
      <c r="E28" s="71">
        <v>3386.7</v>
      </c>
    </row>
    <row r="29" spans="1:5" x14ac:dyDescent="0.25">
      <c r="A29" s="58">
        <v>39753</v>
      </c>
      <c r="B29" s="67">
        <v>48277</v>
      </c>
      <c r="C29" s="68">
        <v>290.95299999999997</v>
      </c>
      <c r="D29" s="67">
        <v>3723.721</v>
      </c>
      <c r="E29" s="71">
        <v>3341.5</v>
      </c>
    </row>
    <row r="30" spans="1:5" x14ac:dyDescent="0.25">
      <c r="A30" s="58">
        <v>39783</v>
      </c>
      <c r="B30" s="67">
        <v>29302</v>
      </c>
      <c r="C30" s="68">
        <v>170.9</v>
      </c>
      <c r="D30" s="67">
        <v>4620</v>
      </c>
      <c r="E30" s="71">
        <v>3521.2</v>
      </c>
    </row>
    <row r="31" spans="1:5" x14ac:dyDescent="0.25">
      <c r="A31" s="58">
        <v>39814</v>
      </c>
      <c r="B31" s="67">
        <v>37310</v>
      </c>
      <c r="C31" s="68">
        <v>177.553</v>
      </c>
      <c r="D31" s="67">
        <v>2624.3910000000001</v>
      </c>
      <c r="E31" s="71">
        <v>3198.9</v>
      </c>
    </row>
    <row r="32" spans="1:5" x14ac:dyDescent="0.25">
      <c r="A32" s="58">
        <v>39845</v>
      </c>
      <c r="B32" s="67">
        <v>30977</v>
      </c>
      <c r="C32" s="68">
        <v>159.63999999999999</v>
      </c>
      <c r="D32" s="67">
        <v>1645.278</v>
      </c>
      <c r="E32" s="71">
        <v>2474.8000000000002</v>
      </c>
    </row>
    <row r="33" spans="1:5" x14ac:dyDescent="0.25">
      <c r="A33" s="58">
        <v>39873</v>
      </c>
      <c r="B33" s="67">
        <v>35328</v>
      </c>
      <c r="C33" s="68">
        <v>207.39</v>
      </c>
      <c r="D33" s="67">
        <v>2414.1210000000001</v>
      </c>
      <c r="E33" s="71">
        <v>2805</v>
      </c>
    </row>
    <row r="34" spans="1:5" x14ac:dyDescent="0.25">
      <c r="A34" s="58">
        <v>39904</v>
      </c>
      <c r="B34" s="67">
        <v>37732</v>
      </c>
      <c r="C34" s="68">
        <v>215.56</v>
      </c>
      <c r="D34" s="67">
        <v>2554.3809999999999</v>
      </c>
      <c r="E34" s="71">
        <v>2800.1</v>
      </c>
    </row>
    <row r="35" spans="1:5" x14ac:dyDescent="0.25">
      <c r="A35" s="58">
        <v>39934</v>
      </c>
      <c r="B35" s="67">
        <v>32343</v>
      </c>
      <c r="C35" s="68">
        <v>308</v>
      </c>
      <c r="D35" s="67">
        <v>2692.0360000000001</v>
      </c>
      <c r="E35" s="71">
        <v>2852.6</v>
      </c>
    </row>
    <row r="36" spans="1:5" x14ac:dyDescent="0.25">
      <c r="A36" s="58">
        <v>39965</v>
      </c>
      <c r="B36" s="67">
        <v>41679</v>
      </c>
      <c r="C36" s="68">
        <v>377.56</v>
      </c>
      <c r="D36" s="67">
        <v>2759.1390000000001</v>
      </c>
      <c r="E36" s="71">
        <v>3294.6</v>
      </c>
    </row>
    <row r="37" spans="1:5" x14ac:dyDescent="0.25">
      <c r="A37" s="58">
        <v>39995</v>
      </c>
      <c r="B37" s="67">
        <v>41929</v>
      </c>
      <c r="C37" s="68">
        <v>296.19200000000001</v>
      </c>
      <c r="D37" s="67">
        <v>3261.625</v>
      </c>
      <c r="E37" s="71">
        <v>3273.1</v>
      </c>
    </row>
    <row r="38" spans="1:5" x14ac:dyDescent="0.25">
      <c r="A38" s="58">
        <v>40026</v>
      </c>
      <c r="B38" s="67">
        <v>31697</v>
      </c>
      <c r="C38" s="68">
        <v>280.892</v>
      </c>
      <c r="D38" s="67">
        <v>3149.2109999999998</v>
      </c>
      <c r="E38" s="71">
        <v>3102.7</v>
      </c>
    </row>
    <row r="39" spans="1:5" x14ac:dyDescent="0.25">
      <c r="A39" s="58">
        <v>40057</v>
      </c>
      <c r="B39" s="67">
        <v>29690</v>
      </c>
      <c r="C39" s="68">
        <v>231.69200000000001</v>
      </c>
      <c r="D39" s="67">
        <v>3547.5909999999999</v>
      </c>
      <c r="E39" s="71">
        <v>3005.5</v>
      </c>
    </row>
    <row r="40" spans="1:5" x14ac:dyDescent="0.25">
      <c r="A40" s="58">
        <v>40087</v>
      </c>
      <c r="B40" s="67">
        <v>26430</v>
      </c>
      <c r="C40" s="68">
        <v>303.29700000000003</v>
      </c>
      <c r="D40" s="67">
        <v>4520.9660000000003</v>
      </c>
      <c r="E40" s="71">
        <v>3083.6</v>
      </c>
    </row>
    <row r="41" spans="1:5" x14ac:dyDescent="0.25">
      <c r="A41" s="58">
        <v>40118</v>
      </c>
      <c r="B41" s="67">
        <v>28866</v>
      </c>
      <c r="C41" s="68">
        <v>396.36</v>
      </c>
      <c r="D41" s="67">
        <v>4646.5659999999998</v>
      </c>
      <c r="E41" s="71">
        <v>3189.6</v>
      </c>
    </row>
    <row r="42" spans="1:5" x14ac:dyDescent="0.25">
      <c r="A42" s="58">
        <v>40148</v>
      </c>
      <c r="B42" s="67">
        <v>28188</v>
      </c>
      <c r="C42" s="68">
        <v>307.65499999999997</v>
      </c>
      <c r="D42" s="67">
        <v>2954.3</v>
      </c>
      <c r="E42" s="71">
        <v>3247.4</v>
      </c>
    </row>
    <row r="43" spans="1:5" x14ac:dyDescent="0.25">
      <c r="A43" s="58">
        <v>40179</v>
      </c>
      <c r="B43" s="67">
        <v>38544</v>
      </c>
      <c r="C43" s="68">
        <v>603.90499999999997</v>
      </c>
      <c r="D43" s="67">
        <v>6358.0240000000003</v>
      </c>
      <c r="E43" s="71">
        <v>3565.3</v>
      </c>
    </row>
    <row r="44" spans="1:5" x14ac:dyDescent="0.25">
      <c r="A44" s="58">
        <v>40210</v>
      </c>
      <c r="B44" s="67">
        <v>36776</v>
      </c>
      <c r="C44" s="68">
        <v>369.75799999999998</v>
      </c>
      <c r="D44" s="67">
        <v>4214.8760000000002</v>
      </c>
      <c r="E44" s="71">
        <v>3629.4</v>
      </c>
    </row>
    <row r="45" spans="1:5" x14ac:dyDescent="0.25">
      <c r="A45" s="58">
        <v>40238</v>
      </c>
      <c r="B45" s="67">
        <v>48784</v>
      </c>
      <c r="C45" s="68">
        <v>627</v>
      </c>
      <c r="D45" s="67">
        <v>8325.598</v>
      </c>
      <c r="E45" s="71">
        <v>4072.9</v>
      </c>
    </row>
    <row r="46" spans="1:5" x14ac:dyDescent="0.25">
      <c r="A46" s="58">
        <v>40269</v>
      </c>
      <c r="B46" s="67">
        <v>42918</v>
      </c>
      <c r="C46" s="68">
        <v>398.53300000000002</v>
      </c>
      <c r="D46" s="67">
        <v>6754.866</v>
      </c>
      <c r="E46" s="71">
        <v>4233.2</v>
      </c>
    </row>
    <row r="47" spans="1:5" x14ac:dyDescent="0.25">
      <c r="A47" s="58">
        <v>40299</v>
      </c>
      <c r="B47" s="67">
        <v>47320</v>
      </c>
      <c r="C47" s="68">
        <v>953.52800000000002</v>
      </c>
      <c r="D47" s="67">
        <v>10342.437</v>
      </c>
      <c r="E47" s="71">
        <v>4241.8</v>
      </c>
    </row>
    <row r="48" spans="1:5" x14ac:dyDescent="0.25">
      <c r="A48" s="58">
        <v>40330</v>
      </c>
      <c r="B48" s="67">
        <v>46790</v>
      </c>
      <c r="C48" s="68">
        <v>364.70699999999999</v>
      </c>
      <c r="D48" s="67">
        <v>13608.178</v>
      </c>
      <c r="E48" s="71">
        <v>4339.3</v>
      </c>
    </row>
    <row r="49" spans="1:5" x14ac:dyDescent="0.25">
      <c r="A49" s="58">
        <v>40360</v>
      </c>
      <c r="B49" s="67">
        <v>92226</v>
      </c>
      <c r="C49" s="68">
        <v>691.33600000000001</v>
      </c>
      <c r="D49" s="67">
        <v>11383.352000000001</v>
      </c>
      <c r="E49" s="71">
        <v>4438.6000000000004</v>
      </c>
    </row>
    <row r="50" spans="1:5" x14ac:dyDescent="0.25">
      <c r="A50" s="58">
        <v>40391</v>
      </c>
      <c r="B50" s="67">
        <v>99368</v>
      </c>
      <c r="C50" s="68">
        <v>1030.54</v>
      </c>
      <c r="D50" s="67">
        <v>16173.545</v>
      </c>
      <c r="E50" s="71">
        <v>4454.6000000000004</v>
      </c>
    </row>
    <row r="51" spans="1:5" x14ac:dyDescent="0.25">
      <c r="A51" s="58">
        <v>40422</v>
      </c>
      <c r="B51" s="67">
        <v>94472</v>
      </c>
      <c r="C51" s="68">
        <v>804.41</v>
      </c>
      <c r="D51" s="67">
        <v>7740</v>
      </c>
      <c r="E51" s="71">
        <v>4629.8</v>
      </c>
    </row>
    <row r="52" spans="1:5" x14ac:dyDescent="0.25">
      <c r="A52" s="58">
        <v>40452</v>
      </c>
      <c r="B52" s="67">
        <v>46890</v>
      </c>
      <c r="C52" s="68">
        <v>500.96</v>
      </c>
      <c r="D52" s="67">
        <v>10230</v>
      </c>
      <c r="E52" s="71">
        <v>4659.6000000000004</v>
      </c>
    </row>
    <row r="53" spans="1:5" x14ac:dyDescent="0.25">
      <c r="A53" s="58">
        <v>40483</v>
      </c>
      <c r="B53" s="67">
        <v>43524</v>
      </c>
      <c r="C53" s="68">
        <v>498.78</v>
      </c>
      <c r="D53" s="67">
        <v>9300</v>
      </c>
      <c r="E53" s="71">
        <v>4395.2</v>
      </c>
    </row>
    <row r="54" spans="1:5" x14ac:dyDescent="0.25">
      <c r="A54" s="58">
        <v>40513</v>
      </c>
      <c r="B54" s="67">
        <v>36965</v>
      </c>
      <c r="C54" s="68">
        <v>357.61</v>
      </c>
      <c r="D54" s="67">
        <v>5880</v>
      </c>
      <c r="E54" s="71">
        <v>4432.6000000000004</v>
      </c>
    </row>
    <row r="55" spans="1:5" x14ac:dyDescent="0.25">
      <c r="A55" s="58">
        <v>40544</v>
      </c>
      <c r="B55" s="67">
        <v>45131</v>
      </c>
      <c r="C55" s="9">
        <v>725.1</v>
      </c>
      <c r="D55" s="67">
        <v>9460</v>
      </c>
      <c r="E55" s="72">
        <v>4465</v>
      </c>
    </row>
    <row r="56" spans="1:5" x14ac:dyDescent="0.25">
      <c r="A56" s="58">
        <v>40575</v>
      </c>
      <c r="B56" s="67">
        <v>39127</v>
      </c>
      <c r="C56" s="9">
        <v>335.3</v>
      </c>
      <c r="D56" s="67">
        <v>6216</v>
      </c>
      <c r="E56" s="72">
        <v>4240</v>
      </c>
    </row>
    <row r="57" spans="1:5" x14ac:dyDescent="0.25">
      <c r="A57" s="58">
        <v>40603</v>
      </c>
      <c r="B57" s="67">
        <v>39531</v>
      </c>
      <c r="C57" s="9">
        <v>469</v>
      </c>
      <c r="D57" s="67">
        <v>7984</v>
      </c>
      <c r="E57" s="72">
        <v>3887</v>
      </c>
    </row>
    <row r="58" spans="1:5" x14ac:dyDescent="0.25">
      <c r="A58" s="58">
        <v>40634</v>
      </c>
      <c r="B58" s="67">
        <v>31590</v>
      </c>
      <c r="C58" s="9">
        <v>497</v>
      </c>
      <c r="D58" s="67">
        <v>7883</v>
      </c>
      <c r="E58" s="72">
        <v>4029</v>
      </c>
    </row>
    <row r="59" spans="1:5" x14ac:dyDescent="0.25">
      <c r="A59" s="58">
        <v>40664</v>
      </c>
      <c r="B59" s="67">
        <v>35667</v>
      </c>
      <c r="C59" s="9">
        <v>410</v>
      </c>
      <c r="D59" s="67">
        <v>8406</v>
      </c>
      <c r="E59" s="72">
        <v>4078</v>
      </c>
    </row>
    <row r="60" spans="1:5" x14ac:dyDescent="0.25">
      <c r="A60" s="58">
        <v>40695</v>
      </c>
      <c r="B60" s="67">
        <v>38060</v>
      </c>
      <c r="C60" s="9">
        <v>411</v>
      </c>
      <c r="D60" s="67">
        <v>8406</v>
      </c>
      <c r="E60" s="72">
        <v>3968</v>
      </c>
    </row>
    <row r="61" spans="1:5" x14ac:dyDescent="0.25">
      <c r="A61" s="58">
        <v>40725</v>
      </c>
      <c r="B61" s="67">
        <v>32546</v>
      </c>
      <c r="C61" s="9">
        <v>434</v>
      </c>
      <c r="D61" s="67">
        <v>7132</v>
      </c>
      <c r="E61" s="72">
        <v>3738</v>
      </c>
    </row>
    <row r="62" spans="1:5" x14ac:dyDescent="0.25">
      <c r="A62" s="58">
        <v>40756</v>
      </c>
      <c r="B62" s="67">
        <v>30237</v>
      </c>
      <c r="C62" s="9">
        <v>552</v>
      </c>
      <c r="D62" s="67">
        <v>6109</v>
      </c>
      <c r="E62" s="72">
        <v>3464</v>
      </c>
    </row>
    <row r="63" spans="1:5" x14ac:dyDescent="0.25">
      <c r="A63" s="58">
        <v>40787</v>
      </c>
      <c r="B63" s="67">
        <v>26463</v>
      </c>
      <c r="C63" s="9">
        <v>582</v>
      </c>
      <c r="D63" s="67">
        <v>5453</v>
      </c>
      <c r="E63" s="72">
        <v>3284</v>
      </c>
    </row>
    <row r="64" spans="1:5" x14ac:dyDescent="0.25">
      <c r="A64" s="58">
        <v>40817</v>
      </c>
      <c r="B64" s="67">
        <v>22302</v>
      </c>
      <c r="C64" s="9">
        <v>570.1</v>
      </c>
      <c r="D64" s="67">
        <v>4466</v>
      </c>
      <c r="E64" s="72">
        <v>3507</v>
      </c>
    </row>
    <row r="65" spans="1:5" x14ac:dyDescent="0.25">
      <c r="A65" s="58">
        <v>40848</v>
      </c>
      <c r="B65" s="67">
        <v>23732</v>
      </c>
      <c r="C65" s="9">
        <v>398.9</v>
      </c>
      <c r="D65" s="67">
        <v>3928</v>
      </c>
      <c r="E65" s="72">
        <v>3155</v>
      </c>
    </row>
    <row r="66" spans="1:5" x14ac:dyDescent="0.25">
      <c r="A66" s="58">
        <v>40878</v>
      </c>
      <c r="B66" s="67">
        <v>17789</v>
      </c>
      <c r="C66" s="9">
        <v>337</v>
      </c>
      <c r="D66" s="67">
        <v>3973</v>
      </c>
      <c r="E66" s="72">
        <v>3205</v>
      </c>
    </row>
    <row r="67" spans="1:5" x14ac:dyDescent="0.25">
      <c r="A67" s="58">
        <v>40909</v>
      </c>
      <c r="B67" s="67">
        <v>20726</v>
      </c>
      <c r="C67" s="9">
        <v>351</v>
      </c>
      <c r="D67" s="67">
        <v>3544</v>
      </c>
      <c r="E67" s="72">
        <v>3224</v>
      </c>
    </row>
    <row r="68" spans="1:5" x14ac:dyDescent="0.25">
      <c r="A68" s="58">
        <v>40940</v>
      </c>
      <c r="B68" s="67">
        <v>21654</v>
      </c>
      <c r="C68" s="9">
        <v>342</v>
      </c>
      <c r="D68" s="67">
        <v>3493</v>
      </c>
      <c r="E68" s="35">
        <v>3.3039999999999998</v>
      </c>
    </row>
    <row r="69" spans="1:5" x14ac:dyDescent="0.25">
      <c r="A69" s="58">
        <v>40969</v>
      </c>
      <c r="B69" s="67">
        <v>24801</v>
      </c>
      <c r="C69" s="9">
        <v>366</v>
      </c>
      <c r="D69" s="67">
        <v>6386</v>
      </c>
      <c r="E69" s="72">
        <v>3367</v>
      </c>
    </row>
    <row r="70" spans="1:5" x14ac:dyDescent="0.25">
      <c r="A70" s="58">
        <v>41000</v>
      </c>
      <c r="B70" s="67">
        <v>23918</v>
      </c>
      <c r="C70" s="9">
        <v>526</v>
      </c>
      <c r="D70" s="67">
        <v>7640</v>
      </c>
      <c r="E70" s="72">
        <v>3547</v>
      </c>
    </row>
    <row r="71" spans="1:5" x14ac:dyDescent="0.25">
      <c r="A71" s="58">
        <v>41030</v>
      </c>
      <c r="B71" s="67">
        <v>28324</v>
      </c>
      <c r="C71" s="9">
        <v>544</v>
      </c>
      <c r="D71" s="67">
        <v>8815</v>
      </c>
      <c r="E71" s="72">
        <v>3651</v>
      </c>
    </row>
    <row r="72" spans="1:5" x14ac:dyDescent="0.25">
      <c r="A72" s="58">
        <v>41061</v>
      </c>
      <c r="B72" s="67">
        <v>25301</v>
      </c>
      <c r="C72" s="9">
        <v>385</v>
      </c>
      <c r="D72" s="67">
        <v>6214</v>
      </c>
      <c r="E72" s="72">
        <v>3704</v>
      </c>
    </row>
    <row r="73" spans="1:5" x14ac:dyDescent="0.25">
      <c r="A73" s="58">
        <v>41091</v>
      </c>
      <c r="B73" s="67">
        <v>28033</v>
      </c>
      <c r="C73" s="9">
        <v>384</v>
      </c>
      <c r="D73" s="67">
        <v>6038</v>
      </c>
      <c r="E73" s="72">
        <v>3832</v>
      </c>
    </row>
    <row r="74" spans="1:5" x14ac:dyDescent="0.25">
      <c r="A74" s="58">
        <v>41122</v>
      </c>
      <c r="B74" s="67">
        <v>27715</v>
      </c>
      <c r="C74" s="9">
        <v>339</v>
      </c>
      <c r="D74" s="67">
        <v>5681</v>
      </c>
      <c r="E74" s="72">
        <v>3866</v>
      </c>
    </row>
    <row r="75" spans="1:5" x14ac:dyDescent="0.25">
      <c r="A75" s="58">
        <v>41153</v>
      </c>
      <c r="B75" s="67">
        <v>28967</v>
      </c>
      <c r="C75" s="9">
        <v>470</v>
      </c>
      <c r="D75" s="67">
        <v>9781</v>
      </c>
      <c r="E75" s="72">
        <v>3972</v>
      </c>
    </row>
    <row r="76" spans="1:5" x14ac:dyDescent="0.25">
      <c r="A76" s="58">
        <v>41183</v>
      </c>
      <c r="B76" s="67">
        <v>62414</v>
      </c>
      <c r="C76" s="9">
        <v>917</v>
      </c>
      <c r="D76" s="67">
        <v>11082</v>
      </c>
      <c r="E76" s="72">
        <v>4147</v>
      </c>
    </row>
    <row r="77" spans="1:5" x14ac:dyDescent="0.25">
      <c r="A77" s="58">
        <v>41214</v>
      </c>
      <c r="B77" s="67">
        <v>30367</v>
      </c>
      <c r="C77" s="9">
        <v>837</v>
      </c>
      <c r="D77" s="67">
        <v>10537</v>
      </c>
      <c r="E77" s="72">
        <v>4083</v>
      </c>
    </row>
    <row r="78" spans="1:5" x14ac:dyDescent="0.25">
      <c r="A78" s="58">
        <v>41244</v>
      </c>
      <c r="B78" s="67">
        <v>20015</v>
      </c>
      <c r="C78" s="9">
        <v>462</v>
      </c>
      <c r="D78" s="67">
        <v>7582</v>
      </c>
      <c r="E78" s="72">
        <v>4133</v>
      </c>
    </row>
    <row r="79" spans="1:5" x14ac:dyDescent="0.25">
      <c r="A79" s="58">
        <v>41275</v>
      </c>
      <c r="B79" s="67">
        <v>32416</v>
      </c>
      <c r="C79" s="9">
        <v>519</v>
      </c>
      <c r="D79" s="67">
        <v>8464</v>
      </c>
      <c r="E79" s="72">
        <v>4417</v>
      </c>
    </row>
    <row r="80" spans="1:5" x14ac:dyDescent="0.25">
      <c r="A80" s="58">
        <v>41306</v>
      </c>
      <c r="B80" s="67">
        <v>31529</v>
      </c>
      <c r="C80" s="9">
        <v>692</v>
      </c>
      <c r="D80" s="67">
        <v>14693</v>
      </c>
      <c r="E80" s="72">
        <v>4519</v>
      </c>
    </row>
    <row r="81" spans="1:5" x14ac:dyDescent="0.25">
      <c r="A81" s="58">
        <v>41334</v>
      </c>
      <c r="B81" s="67">
        <v>34443</v>
      </c>
      <c r="C81" s="9">
        <v>571</v>
      </c>
      <c r="D81" s="67">
        <v>11183</v>
      </c>
      <c r="E81" s="72">
        <v>4861</v>
      </c>
    </row>
    <row r="82" spans="1:5" x14ac:dyDescent="0.25">
      <c r="A82" s="58">
        <v>41365</v>
      </c>
      <c r="B82" s="67">
        <v>39859</v>
      </c>
      <c r="C82" s="9">
        <v>597</v>
      </c>
      <c r="D82" s="67">
        <v>9856</v>
      </c>
      <c r="E82" s="72">
        <v>4765</v>
      </c>
    </row>
    <row r="83" spans="1:5" x14ac:dyDescent="0.25">
      <c r="A83" s="58">
        <v>41395</v>
      </c>
      <c r="B83" s="67">
        <v>39727</v>
      </c>
      <c r="C83" s="9">
        <v>868</v>
      </c>
      <c r="D83" s="67">
        <v>16070</v>
      </c>
      <c r="E83" s="72">
        <v>5006</v>
      </c>
    </row>
    <row r="84" spans="1:5" x14ac:dyDescent="0.25">
      <c r="A84" s="58">
        <v>41426</v>
      </c>
      <c r="B84" s="67">
        <v>34587</v>
      </c>
      <c r="C84" s="9">
        <v>728</v>
      </c>
      <c r="D84" s="67">
        <v>13021</v>
      </c>
      <c r="E84" s="72">
        <v>4598</v>
      </c>
    </row>
    <row r="85" spans="1:5" x14ac:dyDescent="0.25">
      <c r="A85" s="58">
        <v>41456</v>
      </c>
      <c r="B85" s="67">
        <v>34341</v>
      </c>
      <c r="C85" s="9">
        <v>616</v>
      </c>
      <c r="D85" s="67">
        <v>11205</v>
      </c>
      <c r="E85" s="72">
        <v>4788</v>
      </c>
    </row>
    <row r="86" spans="1:5" x14ac:dyDescent="0.25">
      <c r="A86" s="58">
        <v>41487</v>
      </c>
      <c r="B86" s="67">
        <v>33957</v>
      </c>
      <c r="C86" s="9">
        <v>670</v>
      </c>
      <c r="D86" s="67">
        <v>20797</v>
      </c>
      <c r="E86" s="72">
        <v>4698</v>
      </c>
    </row>
    <row r="87" spans="1:5" x14ac:dyDescent="0.25">
      <c r="A87" s="58">
        <v>41518</v>
      </c>
      <c r="B87" s="67">
        <v>31849</v>
      </c>
      <c r="C87" s="9">
        <v>489</v>
      </c>
      <c r="D87" s="67">
        <v>10062</v>
      </c>
      <c r="E87" s="72">
        <v>4793</v>
      </c>
    </row>
    <row r="88" spans="1:5" x14ac:dyDescent="0.25">
      <c r="A88" s="58">
        <v>41548</v>
      </c>
      <c r="B88" s="67">
        <v>39915</v>
      </c>
      <c r="C88" s="9">
        <v>804</v>
      </c>
      <c r="D88" s="67">
        <v>15937</v>
      </c>
      <c r="E88" s="72">
        <v>4936</v>
      </c>
    </row>
    <row r="89" spans="1:5" x14ac:dyDescent="0.25">
      <c r="A89" s="58">
        <v>41579</v>
      </c>
      <c r="B89" s="67">
        <v>43129</v>
      </c>
      <c r="C89" s="9">
        <v>645</v>
      </c>
      <c r="D89" s="67">
        <v>13129</v>
      </c>
      <c r="E89" s="72">
        <v>5101</v>
      </c>
    </row>
    <row r="90" spans="1:5" x14ac:dyDescent="0.25">
      <c r="A90" s="58">
        <v>41609</v>
      </c>
      <c r="B90" s="67">
        <v>30575</v>
      </c>
      <c r="C90" s="9">
        <v>466</v>
      </c>
      <c r="D90" s="67">
        <v>11329</v>
      </c>
      <c r="E90" s="72">
        <v>4927</v>
      </c>
    </row>
    <row r="91" spans="1:5" x14ac:dyDescent="0.25">
      <c r="A91" s="58">
        <v>41640</v>
      </c>
      <c r="B91" s="67">
        <v>49348</v>
      </c>
      <c r="C91" s="9">
        <v>639</v>
      </c>
      <c r="D91" s="67">
        <v>15970</v>
      </c>
      <c r="E91" s="72">
        <v>4856</v>
      </c>
    </row>
    <row r="92" spans="1:5" x14ac:dyDescent="0.25">
      <c r="A92" s="58">
        <v>41671</v>
      </c>
      <c r="B92" s="67">
        <v>39160</v>
      </c>
      <c r="C92" s="9">
        <v>545</v>
      </c>
      <c r="D92" s="67">
        <v>14743</v>
      </c>
      <c r="E92" s="72">
        <v>4933</v>
      </c>
    </row>
    <row r="93" spans="1:5" x14ac:dyDescent="0.25">
      <c r="A93" s="58">
        <v>41699</v>
      </c>
      <c r="B93" s="67">
        <v>42604</v>
      </c>
      <c r="C93" s="9">
        <v>544</v>
      </c>
      <c r="D93" s="67">
        <v>13042</v>
      </c>
      <c r="E93" s="72">
        <v>4946</v>
      </c>
    </row>
    <row r="94" spans="1:5" x14ac:dyDescent="0.25">
      <c r="A94" s="58">
        <v>41730</v>
      </c>
      <c r="B94" s="67">
        <v>40979</v>
      </c>
      <c r="C94" s="9">
        <v>728</v>
      </c>
      <c r="D94" s="67">
        <v>15750</v>
      </c>
      <c r="E94" s="72">
        <v>4949</v>
      </c>
    </row>
    <row r="95" spans="1:5" x14ac:dyDescent="0.25">
      <c r="A95" s="58">
        <v>41760</v>
      </c>
      <c r="B95" s="67">
        <v>47131</v>
      </c>
      <c r="C95" s="9">
        <v>854</v>
      </c>
      <c r="D95" s="67">
        <v>23022</v>
      </c>
      <c r="E95" s="72">
        <v>4882</v>
      </c>
    </row>
    <row r="96" spans="1:5" x14ac:dyDescent="0.25">
      <c r="A96" s="58">
        <v>41791</v>
      </c>
      <c r="B96" s="67">
        <v>38483</v>
      </c>
      <c r="C96" s="9">
        <v>731</v>
      </c>
      <c r="D96" s="67">
        <v>18190</v>
      </c>
      <c r="E96" s="72">
        <v>4885</v>
      </c>
    </row>
    <row r="97" spans="1:5" x14ac:dyDescent="0.25">
      <c r="A97" s="58">
        <v>41821</v>
      </c>
      <c r="B97" s="67">
        <v>41506</v>
      </c>
      <c r="C97" s="9">
        <v>625</v>
      </c>
      <c r="D97" s="67">
        <v>15043</v>
      </c>
      <c r="E97" s="72">
        <v>4906</v>
      </c>
    </row>
    <row r="98" spans="1:5" x14ac:dyDescent="0.25">
      <c r="A98" s="58">
        <v>41852</v>
      </c>
      <c r="B98" s="67">
        <v>46933</v>
      </c>
      <c r="C98" s="9">
        <v>629</v>
      </c>
      <c r="D98" s="67">
        <v>15513</v>
      </c>
      <c r="E98" s="72">
        <v>5139</v>
      </c>
    </row>
    <row r="99" spans="1:5" x14ac:dyDescent="0.25">
      <c r="A99" s="58">
        <v>41883</v>
      </c>
      <c r="B99" s="67">
        <v>67891</v>
      </c>
      <c r="C99" s="9">
        <v>767</v>
      </c>
      <c r="D99" s="67">
        <v>19241</v>
      </c>
      <c r="E99" s="72">
        <v>5256</v>
      </c>
    </row>
    <row r="100" spans="1:5" x14ac:dyDescent="0.25">
      <c r="A100" s="58">
        <v>41913</v>
      </c>
      <c r="B100" s="67">
        <v>54955</v>
      </c>
      <c r="C100" s="9">
        <v>506</v>
      </c>
      <c r="D100" s="67">
        <v>19287</v>
      </c>
      <c r="E100" s="72">
        <v>5195</v>
      </c>
    </row>
    <row r="101" spans="1:5" x14ac:dyDescent="0.25">
      <c r="A101" s="58">
        <v>41944</v>
      </c>
      <c r="B101" s="67">
        <v>42617</v>
      </c>
      <c r="C101" s="9">
        <v>666</v>
      </c>
      <c r="D101" s="67">
        <v>14341</v>
      </c>
      <c r="E101" s="72">
        <v>5156</v>
      </c>
    </row>
    <row r="102" spans="1:5" x14ac:dyDescent="0.25">
      <c r="A102" s="58">
        <v>41974</v>
      </c>
      <c r="B102" s="67">
        <v>37384</v>
      </c>
      <c r="C102" s="9">
        <v>900</v>
      </c>
      <c r="D102" s="67">
        <v>31583</v>
      </c>
      <c r="E102" s="72">
        <v>5113</v>
      </c>
    </row>
    <row r="103" spans="1:5" x14ac:dyDescent="0.25">
      <c r="A103" s="58">
        <v>42005</v>
      </c>
      <c r="B103" s="67">
        <v>39813</v>
      </c>
      <c r="C103" s="9">
        <v>414</v>
      </c>
      <c r="D103" s="67">
        <v>9715</v>
      </c>
      <c r="E103" s="72">
        <v>5212</v>
      </c>
    </row>
    <row r="104" spans="1:5" x14ac:dyDescent="0.25">
      <c r="A104" s="58">
        <v>42036</v>
      </c>
      <c r="B104" s="67">
        <v>42387</v>
      </c>
      <c r="C104" s="9">
        <v>593</v>
      </c>
      <c r="D104" s="9">
        <v>16.109000000000002</v>
      </c>
      <c r="E104" s="72">
        <v>5491</v>
      </c>
    </row>
    <row r="105" spans="1:5" x14ac:dyDescent="0.25">
      <c r="A105" s="58">
        <v>42064</v>
      </c>
      <c r="B105" s="67">
        <v>44715</v>
      </c>
      <c r="C105" s="9">
        <v>614</v>
      </c>
      <c r="D105" s="67">
        <v>20516</v>
      </c>
      <c r="E105" s="72">
        <v>5346</v>
      </c>
    </row>
    <row r="106" spans="1:5" x14ac:dyDescent="0.25">
      <c r="A106" s="58">
        <v>42095</v>
      </c>
      <c r="B106" s="67">
        <v>36148</v>
      </c>
      <c r="C106" s="9">
        <v>488</v>
      </c>
      <c r="D106" s="67">
        <v>14642</v>
      </c>
      <c r="E106" s="72">
        <v>5091</v>
      </c>
    </row>
    <row r="107" spans="1:5" x14ac:dyDescent="0.25">
      <c r="A107" s="58">
        <v>42125</v>
      </c>
      <c r="B107" s="67">
        <v>35782</v>
      </c>
      <c r="C107" s="9">
        <v>684</v>
      </c>
      <c r="D107" s="67">
        <v>21331</v>
      </c>
      <c r="E107" s="72">
        <v>4788</v>
      </c>
    </row>
    <row r="108" spans="1:5" x14ac:dyDescent="0.25">
      <c r="A108" s="58">
        <v>42156</v>
      </c>
      <c r="B108" s="67">
        <v>33367</v>
      </c>
      <c r="C108" s="9">
        <v>681</v>
      </c>
      <c r="D108" s="67">
        <v>24251</v>
      </c>
      <c r="E108" s="72">
        <v>4906</v>
      </c>
    </row>
    <row r="109" spans="1:5" x14ac:dyDescent="0.25">
      <c r="A109" s="58">
        <v>42186</v>
      </c>
      <c r="B109" s="67">
        <v>33598</v>
      </c>
      <c r="C109" s="9">
        <v>715</v>
      </c>
      <c r="D109" s="67">
        <v>21554</v>
      </c>
      <c r="E109" s="72">
        <v>4405</v>
      </c>
    </row>
    <row r="110" spans="1:5" x14ac:dyDescent="0.25">
      <c r="A110" s="58">
        <v>42217</v>
      </c>
      <c r="B110" s="67">
        <v>31973</v>
      </c>
      <c r="C110" s="9">
        <v>734</v>
      </c>
      <c r="D110" s="67">
        <v>20792</v>
      </c>
      <c r="E110" s="72">
        <v>4176</v>
      </c>
    </row>
    <row r="111" spans="1:5" x14ac:dyDescent="0.25">
      <c r="A111" s="58">
        <v>42248</v>
      </c>
      <c r="B111" s="67">
        <v>30706</v>
      </c>
      <c r="C111" s="9">
        <v>434</v>
      </c>
      <c r="D111" s="67">
        <v>14375</v>
      </c>
      <c r="E111" s="72">
        <v>4173</v>
      </c>
    </row>
    <row r="112" spans="1:5" x14ac:dyDescent="0.25">
      <c r="A112" s="58">
        <v>42278</v>
      </c>
      <c r="B112" s="67">
        <v>27975</v>
      </c>
      <c r="C112" s="9">
        <v>540</v>
      </c>
      <c r="D112" s="67">
        <v>17837</v>
      </c>
      <c r="E112" s="72">
        <v>3869</v>
      </c>
    </row>
    <row r="113" spans="1:5" x14ac:dyDescent="0.25">
      <c r="A113" s="58">
        <v>42309</v>
      </c>
      <c r="B113" s="67">
        <v>27068</v>
      </c>
      <c r="C113" s="9">
        <v>441</v>
      </c>
      <c r="D113" s="67">
        <v>13149</v>
      </c>
      <c r="E113" s="72">
        <v>4016</v>
      </c>
    </row>
    <row r="114" spans="1:5" x14ac:dyDescent="0.25">
      <c r="A114" s="58">
        <v>42339</v>
      </c>
      <c r="B114" s="67">
        <v>23100</v>
      </c>
      <c r="C114" s="9">
        <v>474</v>
      </c>
      <c r="D114" s="67">
        <v>15109</v>
      </c>
      <c r="E114" s="72">
        <v>4040</v>
      </c>
    </row>
    <row r="115" spans="1:5" x14ac:dyDescent="0.25">
      <c r="A115" s="58">
        <v>42370</v>
      </c>
      <c r="B115" s="67">
        <v>26857</v>
      </c>
      <c r="C115" s="9">
        <v>422</v>
      </c>
      <c r="D115" s="67">
        <v>12999</v>
      </c>
      <c r="E115" s="72">
        <v>3773</v>
      </c>
    </row>
    <row r="116" spans="1:5" x14ac:dyDescent="0.25">
      <c r="A116" s="58">
        <v>42401</v>
      </c>
      <c r="B116" s="67">
        <v>25727</v>
      </c>
      <c r="C116" s="9">
        <v>341</v>
      </c>
      <c r="D116" s="67">
        <v>10161</v>
      </c>
      <c r="E116" s="72">
        <v>3871</v>
      </c>
    </row>
    <row r="117" spans="1:5" x14ac:dyDescent="0.25">
      <c r="A117" s="58">
        <v>42430</v>
      </c>
      <c r="B117" s="67">
        <v>30789</v>
      </c>
      <c r="C117" s="9">
        <v>536</v>
      </c>
      <c r="D117" s="67">
        <v>13449</v>
      </c>
      <c r="E117" s="72">
        <v>3982</v>
      </c>
    </row>
    <row r="118" spans="1:5" x14ac:dyDescent="0.25">
      <c r="A118" s="58">
        <v>42461</v>
      </c>
      <c r="B118" s="67">
        <v>25012</v>
      </c>
      <c r="C118" s="9">
        <v>426</v>
      </c>
      <c r="D118" s="67">
        <v>10066</v>
      </c>
      <c r="E118" s="72">
        <v>4009</v>
      </c>
    </row>
    <row r="119" spans="1:5" x14ac:dyDescent="0.25">
      <c r="A119" s="58">
        <v>42491</v>
      </c>
      <c r="B119" s="67">
        <v>24212</v>
      </c>
      <c r="C119" s="9">
        <v>384</v>
      </c>
      <c r="D119" s="67">
        <v>9721</v>
      </c>
      <c r="E119" s="72">
        <v>3868</v>
      </c>
    </row>
    <row r="120" spans="1:5" x14ac:dyDescent="0.25">
      <c r="A120" s="58">
        <v>42522</v>
      </c>
      <c r="B120" s="67">
        <v>26442</v>
      </c>
      <c r="C120" s="9">
        <v>601</v>
      </c>
      <c r="D120" s="67">
        <v>17247</v>
      </c>
      <c r="E120" s="72">
        <v>3641</v>
      </c>
    </row>
    <row r="121" spans="1:5" x14ac:dyDescent="0.25">
      <c r="A121" s="58">
        <v>42552</v>
      </c>
      <c r="B121" s="67">
        <v>22225</v>
      </c>
      <c r="C121" s="9">
        <v>544</v>
      </c>
      <c r="D121" s="67">
        <v>13613</v>
      </c>
      <c r="E121" s="72">
        <v>3489</v>
      </c>
    </row>
    <row r="122" spans="1:5" x14ac:dyDescent="0.25">
      <c r="A122" s="58">
        <v>42583</v>
      </c>
      <c r="B122" s="67">
        <v>29462</v>
      </c>
      <c r="C122" s="9">
        <v>708</v>
      </c>
      <c r="D122" s="67">
        <v>17655</v>
      </c>
      <c r="E122" s="72">
        <v>3179</v>
      </c>
    </row>
    <row r="123" spans="1:5" x14ac:dyDescent="0.25">
      <c r="A123" s="58">
        <v>42614</v>
      </c>
      <c r="B123" s="67">
        <v>24833</v>
      </c>
      <c r="C123" s="9">
        <v>746</v>
      </c>
      <c r="D123" s="67">
        <v>16872</v>
      </c>
      <c r="E123" s="72">
        <v>3243</v>
      </c>
    </row>
    <row r="124" spans="1:5" x14ac:dyDescent="0.25">
      <c r="A124" s="58">
        <v>42644</v>
      </c>
      <c r="B124" s="67">
        <v>21690</v>
      </c>
      <c r="C124" s="9">
        <v>351</v>
      </c>
      <c r="D124" s="67">
        <v>7846</v>
      </c>
      <c r="E124" s="72">
        <v>3251</v>
      </c>
    </row>
    <row r="125" spans="1:5" x14ac:dyDescent="0.25">
      <c r="A125" s="58">
        <v>42675</v>
      </c>
      <c r="B125" s="67">
        <v>26154</v>
      </c>
      <c r="C125" s="9">
        <v>461</v>
      </c>
      <c r="D125" s="67">
        <v>10439</v>
      </c>
      <c r="E125" s="72">
        <v>3247</v>
      </c>
    </row>
    <row r="126" spans="1:5" x14ac:dyDescent="0.25">
      <c r="A126" s="58">
        <v>42705</v>
      </c>
      <c r="B126" s="67">
        <v>16780</v>
      </c>
      <c r="C126" s="9">
        <v>289</v>
      </c>
      <c r="D126" s="67">
        <v>7107</v>
      </c>
      <c r="E126" s="72">
        <v>3186</v>
      </c>
    </row>
    <row r="127" spans="1:5" x14ac:dyDescent="0.25">
      <c r="A127" s="58">
        <v>42736</v>
      </c>
      <c r="B127" s="67">
        <v>19429</v>
      </c>
      <c r="C127" s="9">
        <v>572</v>
      </c>
      <c r="D127" s="67">
        <v>12054</v>
      </c>
      <c r="E127" s="72">
        <v>2794</v>
      </c>
    </row>
    <row r="128" spans="1:5" x14ac:dyDescent="0.25">
      <c r="A128" s="58">
        <v>42767</v>
      </c>
      <c r="B128" s="67">
        <v>19475</v>
      </c>
      <c r="C128" s="9">
        <v>651</v>
      </c>
      <c r="D128" s="67">
        <v>12579</v>
      </c>
      <c r="E128" s="72">
        <v>2962</v>
      </c>
    </row>
    <row r="129" spans="1:5" x14ac:dyDescent="0.25">
      <c r="A129" s="58">
        <v>42795</v>
      </c>
      <c r="B129" s="67">
        <v>23345</v>
      </c>
      <c r="C129" s="9">
        <v>636</v>
      </c>
      <c r="D129" s="67">
        <v>12460</v>
      </c>
      <c r="E129" s="72">
        <v>3112</v>
      </c>
    </row>
    <row r="130" spans="1:5" x14ac:dyDescent="0.25">
      <c r="A130" s="58">
        <v>42826</v>
      </c>
      <c r="B130" s="67">
        <v>17901</v>
      </c>
      <c r="C130" s="9">
        <v>446</v>
      </c>
      <c r="D130" s="67">
        <v>11409</v>
      </c>
      <c r="E130" s="72">
        <v>3158</v>
      </c>
    </row>
    <row r="131" spans="1:5" x14ac:dyDescent="0.25">
      <c r="A131" s="58">
        <v>42856</v>
      </c>
      <c r="B131" s="67">
        <v>27718</v>
      </c>
      <c r="C131" s="9">
        <v>697</v>
      </c>
      <c r="D131" s="67">
        <v>16348</v>
      </c>
      <c r="E131" s="72">
        <v>3441</v>
      </c>
    </row>
    <row r="132" spans="1:5" x14ac:dyDescent="0.25">
      <c r="A132" s="58">
        <v>42887</v>
      </c>
      <c r="B132" s="67">
        <v>27101</v>
      </c>
      <c r="C132" s="9">
        <v>749</v>
      </c>
      <c r="D132" s="67">
        <v>17144</v>
      </c>
      <c r="E132" s="72">
        <v>3607</v>
      </c>
    </row>
    <row r="133" spans="1:5" x14ac:dyDescent="0.25">
      <c r="A133" s="58">
        <v>42917</v>
      </c>
      <c r="B133" s="67">
        <v>26045</v>
      </c>
      <c r="C133" s="9">
        <v>823</v>
      </c>
      <c r="D133" s="67">
        <v>21304</v>
      </c>
      <c r="E133" s="72">
        <v>3700</v>
      </c>
    </row>
    <row r="134" spans="1:5" x14ac:dyDescent="0.25">
      <c r="A134" s="58">
        <v>42948</v>
      </c>
      <c r="B134" s="67">
        <v>32405</v>
      </c>
      <c r="C134" s="9">
        <v>640</v>
      </c>
      <c r="D134" s="67">
        <v>16024</v>
      </c>
      <c r="E134" s="72">
        <v>4027</v>
      </c>
    </row>
    <row r="135" spans="1:5" x14ac:dyDescent="0.25">
      <c r="A135" s="58">
        <v>42979</v>
      </c>
      <c r="B135" s="67">
        <v>25337</v>
      </c>
      <c r="C135" s="9">
        <v>556</v>
      </c>
      <c r="D135" s="67">
        <v>16248</v>
      </c>
      <c r="E135" s="72">
        <v>3751</v>
      </c>
    </row>
    <row r="136" spans="1:5" x14ac:dyDescent="0.25">
      <c r="A136" s="58">
        <v>43009</v>
      </c>
      <c r="B136" s="67">
        <v>18978</v>
      </c>
      <c r="C136" s="9">
        <v>314</v>
      </c>
      <c r="D136" s="67">
        <v>9390</v>
      </c>
      <c r="E136" s="72">
        <v>3730</v>
      </c>
    </row>
    <row r="137" spans="1:5" x14ac:dyDescent="0.25">
      <c r="A137" s="58">
        <v>43040</v>
      </c>
      <c r="B137" s="67">
        <v>26534</v>
      </c>
      <c r="C137" s="9">
        <v>524</v>
      </c>
      <c r="D137" s="67">
        <v>14760</v>
      </c>
      <c r="E137" s="72">
        <v>3816</v>
      </c>
    </row>
    <row r="138" spans="1:5" x14ac:dyDescent="0.25">
      <c r="A138" s="58">
        <v>43070</v>
      </c>
      <c r="B138" s="67">
        <v>20716</v>
      </c>
      <c r="C138" s="9">
        <v>451</v>
      </c>
      <c r="D138" s="67">
        <v>11867</v>
      </c>
      <c r="E138" s="72">
        <v>3811</v>
      </c>
    </row>
    <row r="139" spans="1:5" x14ac:dyDescent="0.25">
      <c r="A139" s="58">
        <v>43101</v>
      </c>
      <c r="B139" s="67">
        <v>25591</v>
      </c>
      <c r="C139" s="9">
        <v>862</v>
      </c>
      <c r="D139" s="67">
        <v>20340</v>
      </c>
      <c r="E139" s="72">
        <v>3737</v>
      </c>
    </row>
    <row r="140" spans="1:5" x14ac:dyDescent="0.25">
      <c r="A140" s="58">
        <v>43132</v>
      </c>
      <c r="B140" s="67">
        <v>24783</v>
      </c>
      <c r="C140" s="9">
        <v>572</v>
      </c>
      <c r="D140" s="67">
        <v>17919</v>
      </c>
      <c r="E140" s="72">
        <v>3750</v>
      </c>
    </row>
    <row r="141" spans="1:5" x14ac:dyDescent="0.25">
      <c r="A141" s="58">
        <v>43160</v>
      </c>
      <c r="B141" s="67">
        <v>32645</v>
      </c>
      <c r="C141" s="9">
        <v>704</v>
      </c>
      <c r="D141" s="67">
        <v>22890</v>
      </c>
      <c r="E141" s="72">
        <v>3854</v>
      </c>
    </row>
    <row r="142" spans="1:5" x14ac:dyDescent="0.25">
      <c r="A142" s="58">
        <v>43191</v>
      </c>
      <c r="B142" s="67">
        <v>28483</v>
      </c>
      <c r="C142" s="9">
        <v>449</v>
      </c>
      <c r="D142" s="67">
        <v>15076</v>
      </c>
      <c r="E142" s="72">
        <v>3735</v>
      </c>
    </row>
    <row r="143" spans="1:5" x14ac:dyDescent="0.25">
      <c r="A143" s="58">
        <v>43221</v>
      </c>
      <c r="B143" s="67">
        <v>30196</v>
      </c>
      <c r="C143" s="9">
        <v>677</v>
      </c>
      <c r="D143" s="67">
        <v>18377</v>
      </c>
      <c r="E143" s="72">
        <v>3333</v>
      </c>
    </row>
    <row r="144" spans="1:5" x14ac:dyDescent="0.25">
      <c r="A144" s="58">
        <v>43252</v>
      </c>
      <c r="B144" s="67">
        <v>24798</v>
      </c>
      <c r="C144" s="9">
        <v>453</v>
      </c>
      <c r="D144" s="67">
        <v>13688</v>
      </c>
      <c r="E144" s="72">
        <v>3286</v>
      </c>
    </row>
    <row r="145" spans="1:5" x14ac:dyDescent="0.25">
      <c r="A145" s="58">
        <v>43282</v>
      </c>
      <c r="B145" s="67">
        <v>24360</v>
      </c>
      <c r="C145" s="9">
        <v>323</v>
      </c>
      <c r="D145" s="67">
        <v>9736</v>
      </c>
      <c r="E145" s="72">
        <v>3320</v>
      </c>
    </row>
    <row r="146" spans="1:5" x14ac:dyDescent="0.25">
      <c r="A146" s="58">
        <v>43313</v>
      </c>
      <c r="B146" s="67">
        <v>25279</v>
      </c>
      <c r="C146" s="9">
        <v>329</v>
      </c>
      <c r="D146" s="67">
        <v>10243</v>
      </c>
      <c r="E146" s="72">
        <v>3203</v>
      </c>
    </row>
    <row r="147" spans="1:5" x14ac:dyDescent="0.25">
      <c r="A147" s="58">
        <v>43344</v>
      </c>
      <c r="B147" s="67">
        <v>25311</v>
      </c>
      <c r="C147" s="9">
        <v>392</v>
      </c>
      <c r="D147" s="67">
        <v>11950</v>
      </c>
      <c r="E147" s="72">
        <v>2876</v>
      </c>
    </row>
    <row r="148" spans="1:5" x14ac:dyDescent="0.25">
      <c r="A148" s="58">
        <v>43374</v>
      </c>
      <c r="B148" s="67">
        <v>26295</v>
      </c>
      <c r="C148" s="9">
        <v>843</v>
      </c>
      <c r="D148" s="67">
        <v>16890</v>
      </c>
      <c r="E148" s="72">
        <v>2820</v>
      </c>
    </row>
    <row r="149" spans="1:5" x14ac:dyDescent="0.25">
      <c r="A149" s="58">
        <v>43405</v>
      </c>
      <c r="B149" s="67">
        <v>22252</v>
      </c>
      <c r="C149" s="9">
        <v>407</v>
      </c>
      <c r="D149" s="67">
        <v>10713</v>
      </c>
      <c r="E149" s="72">
        <v>2797</v>
      </c>
    </row>
    <row r="150" spans="1:5" x14ac:dyDescent="0.25">
      <c r="A150" s="58">
        <v>43435</v>
      </c>
      <c r="B150" s="67">
        <v>17640</v>
      </c>
      <c r="C150" s="9">
        <v>320</v>
      </c>
      <c r="D150" s="67">
        <v>7830</v>
      </c>
      <c r="E150" s="72">
        <v>2801</v>
      </c>
    </row>
    <row r="151" spans="1:5" x14ac:dyDescent="0.25">
      <c r="A151" s="58">
        <v>43466</v>
      </c>
      <c r="B151" s="67">
        <v>24798</v>
      </c>
      <c r="C151" s="9">
        <v>557</v>
      </c>
      <c r="D151" s="67">
        <v>16200</v>
      </c>
      <c r="E151" s="72">
        <v>2983</v>
      </c>
    </row>
    <row r="152" spans="1:5" x14ac:dyDescent="0.25">
      <c r="A152" s="58">
        <v>43497</v>
      </c>
      <c r="B152" s="67">
        <v>23444</v>
      </c>
      <c r="C152" s="9">
        <v>425</v>
      </c>
      <c r="D152" s="67">
        <v>14173</v>
      </c>
      <c r="E152" s="72">
        <v>2916</v>
      </c>
    </row>
    <row r="153" spans="1:5" x14ac:dyDescent="0.25">
      <c r="A153" s="58">
        <v>43525</v>
      </c>
      <c r="B153" s="67">
        <v>20808</v>
      </c>
      <c r="C153" s="9">
        <v>448</v>
      </c>
      <c r="D153" s="67">
        <v>15917</v>
      </c>
      <c r="E153" s="72">
        <v>2846</v>
      </c>
    </row>
    <row r="154" spans="1:5" x14ac:dyDescent="0.25">
      <c r="A154" s="58">
        <v>43556</v>
      </c>
      <c r="B154" s="67">
        <v>18923</v>
      </c>
      <c r="C154" s="9">
        <v>295</v>
      </c>
      <c r="D154" s="67">
        <v>9865</v>
      </c>
      <c r="E154" s="72">
        <v>2797</v>
      </c>
    </row>
    <row r="155" spans="1:5" x14ac:dyDescent="0.25">
      <c r="A155" s="58">
        <v>43586</v>
      </c>
      <c r="B155" s="67">
        <v>23308</v>
      </c>
      <c r="C155" s="9">
        <v>452</v>
      </c>
      <c r="D155" s="67">
        <v>12494</v>
      </c>
      <c r="E155" s="72">
        <v>2677</v>
      </c>
    </row>
    <row r="156" spans="1:5" x14ac:dyDescent="0.25">
      <c r="A156" s="58">
        <v>43617</v>
      </c>
      <c r="B156" s="67">
        <v>18211</v>
      </c>
      <c r="C156" s="9">
        <v>334</v>
      </c>
      <c r="D156" s="67">
        <v>10538</v>
      </c>
      <c r="E156" s="72">
        <v>2633</v>
      </c>
    </row>
    <row r="157" spans="1:5" x14ac:dyDescent="0.25">
      <c r="A157" s="58">
        <v>43647</v>
      </c>
      <c r="B157" s="67">
        <v>20683</v>
      </c>
      <c r="C157" s="9">
        <v>374</v>
      </c>
      <c r="D157" s="67">
        <v>11453</v>
      </c>
      <c r="E157" s="72">
        <v>2628</v>
      </c>
    </row>
    <row r="158" spans="1:5" x14ac:dyDescent="0.25">
      <c r="A158" s="58">
        <v>43678</v>
      </c>
      <c r="B158" s="67">
        <v>18893</v>
      </c>
      <c r="C158" s="9">
        <v>322</v>
      </c>
      <c r="D158" s="67">
        <v>8652</v>
      </c>
      <c r="E158" s="72">
        <v>2468</v>
      </c>
    </row>
    <row r="159" spans="1:5" x14ac:dyDescent="0.25">
      <c r="A159" s="58">
        <v>43709</v>
      </c>
      <c r="B159" s="67">
        <v>19481</v>
      </c>
      <c r="C159" s="9">
        <v>368</v>
      </c>
      <c r="D159" s="67">
        <v>10558</v>
      </c>
      <c r="E159" s="72">
        <v>2432</v>
      </c>
    </row>
    <row r="160" spans="1:5" x14ac:dyDescent="0.25">
      <c r="A160" s="58">
        <v>43739</v>
      </c>
      <c r="B160" s="67">
        <v>19944</v>
      </c>
      <c r="C160" s="9">
        <v>451</v>
      </c>
      <c r="D160" s="67">
        <v>16019</v>
      </c>
      <c r="E160" s="72">
        <v>2643</v>
      </c>
    </row>
    <row r="161" spans="1:9" x14ac:dyDescent="0.25">
      <c r="A161" s="58">
        <v>43770</v>
      </c>
      <c r="B161" s="67">
        <v>23231</v>
      </c>
      <c r="C161" s="9">
        <v>482</v>
      </c>
      <c r="D161" s="67">
        <v>17021</v>
      </c>
      <c r="E161" s="72">
        <v>2619</v>
      </c>
    </row>
    <row r="162" spans="1:9" x14ac:dyDescent="0.25">
      <c r="A162" s="58">
        <v>43800</v>
      </c>
      <c r="B162" s="66">
        <v>17537</v>
      </c>
      <c r="C162" s="24">
        <v>357</v>
      </c>
      <c r="D162" s="66">
        <v>11966</v>
      </c>
      <c r="E162" s="73">
        <v>2654</v>
      </c>
      <c r="I162" s="64"/>
    </row>
    <row r="163" spans="1:9" x14ac:dyDescent="0.25">
      <c r="A163" s="58">
        <v>43831</v>
      </c>
      <c r="B163" s="67">
        <v>21418</v>
      </c>
      <c r="C163" s="9">
        <v>336</v>
      </c>
      <c r="D163" s="67">
        <v>12336</v>
      </c>
      <c r="E163" s="72">
        <v>2600</v>
      </c>
    </row>
    <row r="164" spans="1:9" x14ac:dyDescent="0.25">
      <c r="A164" s="58">
        <v>43862</v>
      </c>
      <c r="B164" s="67">
        <v>17610</v>
      </c>
      <c r="C164" s="9">
        <v>385</v>
      </c>
      <c r="D164" s="67">
        <v>12265</v>
      </c>
      <c r="E164" s="72">
        <v>2337</v>
      </c>
    </row>
    <row r="165" spans="1:9" x14ac:dyDescent="0.25">
      <c r="A165" s="58">
        <v>43891</v>
      </c>
      <c r="B165" s="67">
        <v>26251</v>
      </c>
      <c r="C165" s="9">
        <v>639</v>
      </c>
      <c r="D165" s="67">
        <v>19092</v>
      </c>
      <c r="E165" s="72">
        <v>1966</v>
      </c>
    </row>
    <row r="166" spans="1:9" x14ac:dyDescent="0.25">
      <c r="A166" s="58">
        <v>43922</v>
      </c>
      <c r="B166" s="67">
        <v>20941</v>
      </c>
      <c r="C166" s="9">
        <v>439</v>
      </c>
      <c r="D166" s="67">
        <v>12660</v>
      </c>
      <c r="E166" s="72">
        <v>1958</v>
      </c>
    </row>
    <row r="167" spans="1:9" x14ac:dyDescent="0.25">
      <c r="A167" s="58">
        <v>43952</v>
      </c>
      <c r="B167" s="67">
        <v>24065</v>
      </c>
      <c r="C167" s="9">
        <v>430</v>
      </c>
      <c r="D167" s="67">
        <v>14573</v>
      </c>
      <c r="E167" s="72">
        <v>1948</v>
      </c>
    </row>
    <row r="168" spans="1:9" x14ac:dyDescent="0.25">
      <c r="A168" s="58">
        <v>43983</v>
      </c>
      <c r="B168" s="67">
        <v>25903</v>
      </c>
      <c r="C168" s="9">
        <v>553</v>
      </c>
      <c r="D168" s="67">
        <v>12302</v>
      </c>
      <c r="E168" s="72">
        <v>1942</v>
      </c>
    </row>
    <row r="169" spans="1:9" x14ac:dyDescent="0.25">
      <c r="A169" s="58">
        <v>44013</v>
      </c>
      <c r="B169" s="67">
        <v>28225</v>
      </c>
      <c r="C169" s="9">
        <v>517</v>
      </c>
      <c r="D169" s="67">
        <v>13470</v>
      </c>
      <c r="E169" s="72">
        <v>1804</v>
      </c>
    </row>
    <row r="170" spans="1:9" x14ac:dyDescent="0.25">
      <c r="A170" s="58">
        <v>44044</v>
      </c>
      <c r="B170" s="67">
        <v>22980</v>
      </c>
      <c r="C170" s="9">
        <v>471</v>
      </c>
      <c r="D170" s="67">
        <v>10543</v>
      </c>
      <c r="E170" s="72">
        <v>1795</v>
      </c>
    </row>
    <row r="171" spans="1:9" x14ac:dyDescent="0.25">
      <c r="A171" s="58">
        <v>44075</v>
      </c>
      <c r="B171" s="67">
        <v>23589</v>
      </c>
      <c r="C171" s="9">
        <v>525</v>
      </c>
      <c r="D171" s="67">
        <v>13924</v>
      </c>
      <c r="E171" s="72">
        <v>1852</v>
      </c>
    </row>
    <row r="172" spans="1:9" x14ac:dyDescent="0.25">
      <c r="A172" s="58">
        <v>44105</v>
      </c>
      <c r="B172" s="67">
        <v>17369</v>
      </c>
      <c r="C172" s="9">
        <v>219</v>
      </c>
      <c r="D172" s="67">
        <v>5881</v>
      </c>
      <c r="E172" s="72">
        <v>1784</v>
      </c>
    </row>
    <row r="173" spans="1:9" x14ac:dyDescent="0.25">
      <c r="A173" s="58">
        <v>44136</v>
      </c>
      <c r="B173" s="67">
        <v>17275</v>
      </c>
      <c r="C173" s="9">
        <v>381</v>
      </c>
      <c r="D173" s="67">
        <v>11393</v>
      </c>
      <c r="E173" s="72">
        <v>1760</v>
      </c>
    </row>
    <row r="174" spans="1:9" x14ac:dyDescent="0.25">
      <c r="A174" s="58">
        <v>44166</v>
      </c>
      <c r="B174" s="67">
        <v>18108</v>
      </c>
      <c r="C174" s="9">
        <v>369</v>
      </c>
      <c r="D174" s="67">
        <v>10237</v>
      </c>
      <c r="E174" s="72">
        <v>1868</v>
      </c>
    </row>
    <row r="175" spans="1:9" x14ac:dyDescent="0.25">
      <c r="A175" s="58">
        <v>44197</v>
      </c>
      <c r="B175" s="67">
        <v>19554</v>
      </c>
      <c r="C175" s="9">
        <v>294</v>
      </c>
      <c r="D175" s="67">
        <v>8852</v>
      </c>
      <c r="E175" s="72">
        <v>1882</v>
      </c>
    </row>
    <row r="176" spans="1:9" x14ac:dyDescent="0.25">
      <c r="A176" s="58">
        <v>44228</v>
      </c>
      <c r="B176" s="67">
        <v>19422</v>
      </c>
      <c r="C176" s="9">
        <v>331</v>
      </c>
      <c r="D176" s="67">
        <v>10820</v>
      </c>
      <c r="E176" s="72">
        <v>1916</v>
      </c>
    </row>
    <row r="177" spans="1:5" x14ac:dyDescent="0.25">
      <c r="A177" s="58">
        <v>44256</v>
      </c>
      <c r="B177" s="67">
        <v>23925</v>
      </c>
      <c r="C177" s="9">
        <v>373</v>
      </c>
      <c r="D177" s="67">
        <v>12064</v>
      </c>
      <c r="E177" s="72">
        <v>1846</v>
      </c>
    </row>
    <row r="178" spans="1:5" x14ac:dyDescent="0.25">
      <c r="A178" s="58">
        <v>44287</v>
      </c>
      <c r="B178" s="67">
        <v>20893</v>
      </c>
      <c r="C178" s="9">
        <v>293</v>
      </c>
      <c r="D178" s="67">
        <v>9878</v>
      </c>
      <c r="E178" s="72">
        <v>1867</v>
      </c>
    </row>
    <row r="179" spans="1:5" x14ac:dyDescent="0.25">
      <c r="A179" s="58">
        <v>44317</v>
      </c>
      <c r="B179" s="67">
        <v>21784</v>
      </c>
      <c r="C179" s="9">
        <v>386</v>
      </c>
      <c r="D179" s="67">
        <v>14162</v>
      </c>
      <c r="E179" s="72">
        <v>1872</v>
      </c>
    </row>
    <row r="180" spans="1:5" x14ac:dyDescent="0.25">
      <c r="A180" s="58">
        <v>44348</v>
      </c>
      <c r="B180" s="67">
        <v>23889</v>
      </c>
      <c r="C180" s="9">
        <v>421</v>
      </c>
      <c r="D180" s="67">
        <v>13953</v>
      </c>
      <c r="E180" s="72">
        <v>1928</v>
      </c>
    </row>
    <row r="181" spans="1:5" x14ac:dyDescent="0.25">
      <c r="A181" s="58">
        <v>44378</v>
      </c>
      <c r="B181" s="67">
        <v>24245</v>
      </c>
      <c r="C181" s="9">
        <v>285</v>
      </c>
      <c r="D181" s="67">
        <v>9275</v>
      </c>
      <c r="E181" s="72">
        <v>1974</v>
      </c>
    </row>
    <row r="182" spans="1:5" x14ac:dyDescent="0.25">
      <c r="A182" s="58">
        <v>44409</v>
      </c>
      <c r="B182" s="67">
        <v>27232</v>
      </c>
      <c r="C182" s="9">
        <v>345</v>
      </c>
      <c r="D182" s="67">
        <v>11854</v>
      </c>
      <c r="E182" s="72">
        <v>2021</v>
      </c>
    </row>
    <row r="183" spans="1:5" x14ac:dyDescent="0.25">
      <c r="A183" s="58">
        <v>44440</v>
      </c>
      <c r="B183" s="67">
        <v>27066</v>
      </c>
      <c r="C183" s="9">
        <v>317</v>
      </c>
      <c r="D183" s="67">
        <v>10231</v>
      </c>
      <c r="E183" s="72">
        <v>2031</v>
      </c>
    </row>
    <row r="184" spans="1:5" x14ac:dyDescent="0.25">
      <c r="A184" s="58">
        <v>44470</v>
      </c>
      <c r="B184" s="67">
        <v>21121</v>
      </c>
      <c r="C184" s="9">
        <v>264</v>
      </c>
      <c r="D184" s="67">
        <v>10274</v>
      </c>
      <c r="E184" s="72">
        <v>1961</v>
      </c>
    </row>
    <row r="185" spans="1:5" x14ac:dyDescent="0.25">
      <c r="A185" s="58">
        <v>44501</v>
      </c>
      <c r="B185" s="67">
        <v>27470</v>
      </c>
      <c r="C185" s="9">
        <v>457</v>
      </c>
      <c r="D185" s="67">
        <v>15584</v>
      </c>
      <c r="E185" s="72">
        <v>1871</v>
      </c>
    </row>
    <row r="186" spans="1:5" x14ac:dyDescent="0.25">
      <c r="A186" s="58">
        <v>44531</v>
      </c>
      <c r="B186" s="67">
        <v>21010</v>
      </c>
      <c r="C186" s="9">
        <v>286</v>
      </c>
      <c r="D186" s="67">
        <v>10464</v>
      </c>
      <c r="E186" s="72">
        <v>1903</v>
      </c>
    </row>
    <row r="187" spans="1:5" x14ac:dyDescent="0.25">
      <c r="A187" s="58">
        <v>44562</v>
      </c>
      <c r="B187" s="67">
        <v>21097</v>
      </c>
      <c r="C187" s="9">
        <v>221</v>
      </c>
      <c r="D187" s="67">
        <v>8248</v>
      </c>
      <c r="E187" s="72">
        <v>1889</v>
      </c>
    </row>
    <row r="188" spans="1:5" x14ac:dyDescent="0.25">
      <c r="A188" s="58">
        <v>44593</v>
      </c>
      <c r="B188" s="67">
        <v>22010</v>
      </c>
      <c r="C188" s="9">
        <v>281</v>
      </c>
      <c r="D188" s="67">
        <v>9972</v>
      </c>
      <c r="E188" s="72">
        <v>1887</v>
      </c>
    </row>
    <row r="189" spans="1:5" x14ac:dyDescent="0.25">
      <c r="A189" s="58">
        <v>44621</v>
      </c>
      <c r="B189" s="67">
        <v>24778</v>
      </c>
      <c r="C189" s="9">
        <v>251</v>
      </c>
      <c r="D189" s="67">
        <v>9641</v>
      </c>
      <c r="E189" s="72">
        <v>1847</v>
      </c>
    </row>
    <row r="190" spans="1:5" x14ac:dyDescent="0.25">
      <c r="A190" s="58">
        <v>44652</v>
      </c>
      <c r="B190" s="67">
        <v>18452</v>
      </c>
      <c r="C190" s="9">
        <v>193</v>
      </c>
      <c r="D190" s="67">
        <v>5851</v>
      </c>
      <c r="E190" s="72">
        <v>1801</v>
      </c>
    </row>
    <row r="191" spans="1:5" x14ac:dyDescent="0.25">
      <c r="A191" s="58">
        <v>44682</v>
      </c>
      <c r="B191" s="67">
        <v>24302</v>
      </c>
      <c r="C191" s="9">
        <v>320</v>
      </c>
      <c r="D191" s="67">
        <v>10778</v>
      </c>
      <c r="E191" s="72">
        <v>1682</v>
      </c>
    </row>
    <row r="192" spans="1:5" x14ac:dyDescent="0.25">
      <c r="A192" s="58">
        <v>44713</v>
      </c>
      <c r="B192" s="67">
        <v>26345</v>
      </c>
      <c r="C192" s="9">
        <v>358</v>
      </c>
      <c r="D192" s="67">
        <v>9608</v>
      </c>
      <c r="E192" s="72">
        <v>1613</v>
      </c>
    </row>
    <row r="193" spans="1:5" x14ac:dyDescent="0.25">
      <c r="A193" s="58">
        <v>44743</v>
      </c>
      <c r="B193" s="67">
        <v>23195</v>
      </c>
      <c r="C193" s="9">
        <v>264</v>
      </c>
      <c r="D193" s="67">
        <v>7999</v>
      </c>
      <c r="E193" s="72">
        <v>1701</v>
      </c>
    </row>
    <row r="194" spans="1:5" x14ac:dyDescent="0.25">
      <c r="A194" s="58">
        <v>44774</v>
      </c>
      <c r="B194" s="67">
        <v>22584</v>
      </c>
      <c r="C194" s="9">
        <v>208</v>
      </c>
      <c r="D194" s="67">
        <v>5343</v>
      </c>
      <c r="E194" s="72">
        <v>1751</v>
      </c>
    </row>
    <row r="195" spans="1:5" x14ac:dyDescent="0.25">
      <c r="A195" s="58">
        <v>44805</v>
      </c>
      <c r="B195" s="67">
        <v>27439</v>
      </c>
      <c r="C195" s="9">
        <v>351</v>
      </c>
      <c r="D195" s="67">
        <v>9395</v>
      </c>
      <c r="E195" s="72">
        <v>1718</v>
      </c>
    </row>
    <row r="196" spans="1:5" x14ac:dyDescent="0.25">
      <c r="A196" s="58">
        <v>44835</v>
      </c>
      <c r="B196" s="67">
        <v>23455</v>
      </c>
      <c r="C196" s="9">
        <v>242</v>
      </c>
      <c r="D196" s="67">
        <v>6017</v>
      </c>
      <c r="E196" s="72">
        <v>1678</v>
      </c>
    </row>
    <row r="197" spans="1:5" x14ac:dyDescent="0.25">
      <c r="A197" s="58">
        <v>44866</v>
      </c>
      <c r="B197" s="67">
        <v>21032</v>
      </c>
      <c r="C197" s="9">
        <v>228</v>
      </c>
      <c r="D197" s="67">
        <v>6502</v>
      </c>
      <c r="E197" s="72">
        <v>1638</v>
      </c>
    </row>
    <row r="198" spans="1:5" x14ac:dyDescent="0.25">
      <c r="A198" s="58">
        <v>44896</v>
      </c>
      <c r="B198" s="67">
        <v>18247</v>
      </c>
      <c r="C198" s="9">
        <v>165</v>
      </c>
      <c r="D198" s="67">
        <v>4939</v>
      </c>
      <c r="E198" s="72">
        <v>1676</v>
      </c>
    </row>
    <row r="199" spans="1:5" x14ac:dyDescent="0.25">
      <c r="A199" s="58">
        <v>44927</v>
      </c>
      <c r="B199" s="67">
        <v>24675</v>
      </c>
      <c r="C199" s="9">
        <v>333</v>
      </c>
      <c r="D199" s="67">
        <v>7814</v>
      </c>
      <c r="E199" s="72">
        <v>1657</v>
      </c>
    </row>
    <row r="200" spans="1:5" x14ac:dyDescent="0.25">
      <c r="A200" s="58">
        <v>44958</v>
      </c>
      <c r="B200" s="67">
        <v>19068</v>
      </c>
      <c r="C200" s="9">
        <v>170</v>
      </c>
      <c r="D200" s="67">
        <v>4606</v>
      </c>
      <c r="E200" s="72">
        <v>1647</v>
      </c>
    </row>
    <row r="201" spans="1:5" x14ac:dyDescent="0.25">
      <c r="A201" s="58">
        <v>44986</v>
      </c>
      <c r="B201" s="67">
        <v>29362</v>
      </c>
      <c r="C201" s="9">
        <v>584</v>
      </c>
      <c r="D201" s="67">
        <v>32396</v>
      </c>
      <c r="E201" s="72">
        <v>1622</v>
      </c>
    </row>
    <row r="202" spans="1:5" x14ac:dyDescent="0.25">
      <c r="A202" s="58">
        <v>45017</v>
      </c>
      <c r="B202" s="67">
        <v>20983</v>
      </c>
      <c r="C202" s="9">
        <v>199</v>
      </c>
      <c r="D202" s="67">
        <v>4219</v>
      </c>
      <c r="E202" s="72">
        <v>1579</v>
      </c>
    </row>
    <row r="203" spans="1:5" x14ac:dyDescent="0.25">
      <c r="A203" s="58">
        <v>45047</v>
      </c>
      <c r="B203" s="67">
        <v>29729</v>
      </c>
      <c r="C203" s="9">
        <v>355</v>
      </c>
      <c r="D203" s="67">
        <v>6093</v>
      </c>
      <c r="E203" s="72">
        <v>1547</v>
      </c>
    </row>
    <row r="204" spans="1:5" x14ac:dyDescent="0.25">
      <c r="A204" s="58">
        <v>45078</v>
      </c>
      <c r="B204" s="67">
        <v>23662</v>
      </c>
      <c r="C204" s="9">
        <v>211</v>
      </c>
      <c r="D204" s="67">
        <v>4083</v>
      </c>
      <c r="E204" s="72">
        <v>1575</v>
      </c>
    </row>
    <row r="205" spans="1:5" x14ac:dyDescent="0.25">
      <c r="A205" s="58">
        <v>45108</v>
      </c>
      <c r="B205" s="67">
        <v>23569</v>
      </c>
      <c r="C205" s="9">
        <v>417</v>
      </c>
      <c r="D205" s="67">
        <v>7623</v>
      </c>
      <c r="E205" s="72">
        <v>1577</v>
      </c>
    </row>
    <row r="206" spans="1:5" x14ac:dyDescent="0.25">
      <c r="A206" s="58">
        <v>45139</v>
      </c>
      <c r="B206" s="67">
        <v>23885</v>
      </c>
      <c r="C206" s="9">
        <v>241</v>
      </c>
      <c r="D206" s="67">
        <v>4378</v>
      </c>
      <c r="E206" s="72">
        <v>1540</v>
      </c>
    </row>
    <row r="207" spans="1:5" x14ac:dyDescent="0.25">
      <c r="A207" s="58">
        <v>45170</v>
      </c>
      <c r="B207" s="67">
        <v>20474</v>
      </c>
      <c r="C207" s="9">
        <v>424</v>
      </c>
      <c r="D207" s="67">
        <v>5216</v>
      </c>
      <c r="E207" s="72">
        <v>1508</v>
      </c>
    </row>
    <row r="208" spans="1:5" x14ac:dyDescent="0.25">
      <c r="A208" s="58">
        <v>45200</v>
      </c>
      <c r="B208" s="67">
        <v>20127</v>
      </c>
      <c r="C208" s="9">
        <v>329</v>
      </c>
      <c r="D208" s="67">
        <v>4835</v>
      </c>
      <c r="E208" s="72">
        <v>1461</v>
      </c>
    </row>
    <row r="209" spans="1:5" x14ac:dyDescent="0.25">
      <c r="A209" s="58">
        <v>45231</v>
      </c>
      <c r="B209" s="67">
        <v>21618</v>
      </c>
      <c r="C209" s="9">
        <v>275</v>
      </c>
      <c r="D209" s="67">
        <v>3689</v>
      </c>
      <c r="E209" s="72">
        <v>1496</v>
      </c>
    </row>
    <row r="210" spans="1:5" x14ac:dyDescent="0.25">
      <c r="A210" s="58">
        <v>45261</v>
      </c>
      <c r="B210" s="67">
        <v>15329</v>
      </c>
      <c r="C210" s="9">
        <v>208</v>
      </c>
      <c r="D210" s="67">
        <v>3277</v>
      </c>
      <c r="E210" s="72">
        <v>1501</v>
      </c>
    </row>
    <row r="211" spans="1:5" x14ac:dyDescent="0.25">
      <c r="A211" s="58">
        <v>45292</v>
      </c>
      <c r="B211" s="67">
        <v>19180</v>
      </c>
      <c r="C211" s="9">
        <v>152</v>
      </c>
      <c r="D211" s="67">
        <v>2685</v>
      </c>
      <c r="E211" s="72">
        <v>1509</v>
      </c>
    </row>
    <row r="212" spans="1:5" x14ac:dyDescent="0.25">
      <c r="A212" s="58">
        <v>45323</v>
      </c>
      <c r="B212" s="9">
        <v>20275</v>
      </c>
      <c r="C212" s="9">
        <v>276</v>
      </c>
      <c r="D212" s="9">
        <v>4605</v>
      </c>
      <c r="E212" s="35">
        <v>1536</v>
      </c>
    </row>
    <row r="213" spans="1:5" x14ac:dyDescent="0.25">
      <c r="A213" s="58">
        <v>45352</v>
      </c>
      <c r="B213" s="9">
        <v>25008</v>
      </c>
      <c r="C213" s="9">
        <v>670</v>
      </c>
      <c r="D213" s="9">
        <v>11775</v>
      </c>
      <c r="E213" s="35">
        <v>1752</v>
      </c>
    </row>
    <row r="214" spans="1:5" x14ac:dyDescent="0.25">
      <c r="A214" s="58">
        <v>45383</v>
      </c>
      <c r="B214" s="9">
        <v>27190</v>
      </c>
      <c r="C214" s="9">
        <v>301</v>
      </c>
      <c r="D214" s="9">
        <v>7334</v>
      </c>
      <c r="E214" s="35">
        <v>1691</v>
      </c>
    </row>
    <row r="215" spans="1:5" x14ac:dyDescent="0.25">
      <c r="A215" s="58">
        <v>45413</v>
      </c>
      <c r="B215" s="9">
        <v>27334</v>
      </c>
      <c r="C215" s="9">
        <v>510</v>
      </c>
      <c r="D215" s="9">
        <v>16040</v>
      </c>
      <c r="E215" s="35">
        <v>1722</v>
      </c>
    </row>
    <row r="216" spans="1:5" x14ac:dyDescent="0.25">
      <c r="A216" s="58">
        <v>45444</v>
      </c>
      <c r="B216" s="9">
        <v>23076</v>
      </c>
      <c r="C216" s="9">
        <v>279</v>
      </c>
      <c r="D216" s="9">
        <v>5016</v>
      </c>
      <c r="E216" s="35">
        <v>1657</v>
      </c>
    </row>
    <row r="217" spans="1:5" x14ac:dyDescent="0.25">
      <c r="A217" s="58">
        <v>45474</v>
      </c>
      <c r="B217" s="9">
        <v>26039</v>
      </c>
      <c r="C217" s="9">
        <v>294</v>
      </c>
      <c r="D217" s="9">
        <v>5862</v>
      </c>
      <c r="E217" s="35">
        <v>1670</v>
      </c>
    </row>
    <row r="218" spans="1:5" x14ac:dyDescent="0.25">
      <c r="A218" s="58">
        <v>45505</v>
      </c>
      <c r="B218" s="9">
        <v>25560</v>
      </c>
      <c r="C218" s="9">
        <v>392</v>
      </c>
      <c r="D218" s="9">
        <v>6511</v>
      </c>
      <c r="E218" s="35">
        <v>1678</v>
      </c>
    </row>
    <row r="219" spans="1:5" x14ac:dyDescent="0.25">
      <c r="A219" s="58">
        <v>45536</v>
      </c>
      <c r="B219" s="67">
        <v>27733</v>
      </c>
      <c r="C219" s="9">
        <v>334</v>
      </c>
      <c r="D219" s="67">
        <v>5019</v>
      </c>
      <c r="E219" s="72">
        <v>1776</v>
      </c>
    </row>
    <row r="220" spans="1:5" x14ac:dyDescent="0.25">
      <c r="A220" s="58">
        <v>45566</v>
      </c>
      <c r="B220" s="119">
        <v>31857</v>
      </c>
      <c r="C220" s="2">
        <v>382</v>
      </c>
      <c r="D220" s="119">
        <v>4942</v>
      </c>
      <c r="E220" s="72">
        <v>1906</v>
      </c>
    </row>
    <row r="221" spans="1:5" x14ac:dyDescent="0.25">
      <c r="A221" s="58">
        <v>45597</v>
      </c>
      <c r="B221" s="119">
        <v>31872</v>
      </c>
      <c r="C221" s="2">
        <v>501</v>
      </c>
      <c r="D221" s="119">
        <v>6787</v>
      </c>
      <c r="E221" s="72">
        <v>1861</v>
      </c>
    </row>
    <row r="222" spans="1:5" x14ac:dyDescent="0.25">
      <c r="A222" s="58">
        <v>45627</v>
      </c>
      <c r="B222" s="119">
        <v>26746</v>
      </c>
      <c r="C222" s="2">
        <v>846</v>
      </c>
      <c r="D222" s="119">
        <v>29391</v>
      </c>
      <c r="E222" s="72">
        <v>2011</v>
      </c>
    </row>
    <row r="223" spans="1:5" x14ac:dyDescent="0.25">
      <c r="A223" s="58">
        <v>45658</v>
      </c>
      <c r="B223" s="119">
        <v>49388</v>
      </c>
      <c r="C223" s="2">
        <v>632</v>
      </c>
      <c r="D223" s="119">
        <v>9570</v>
      </c>
      <c r="E223" s="123">
        <v>2163</v>
      </c>
    </row>
    <row r="224" spans="1:5" x14ac:dyDescent="0.25">
      <c r="A224" s="58">
        <v>45689</v>
      </c>
      <c r="B224" s="119">
        <v>43342</v>
      </c>
      <c r="C224" s="2">
        <v>473</v>
      </c>
      <c r="D224" s="119">
        <v>8569</v>
      </c>
      <c r="E224" s="123">
        <v>2300</v>
      </c>
    </row>
    <row r="225" spans="1:5" x14ac:dyDescent="0.25">
      <c r="A225" s="58">
        <v>45717</v>
      </c>
      <c r="B225" s="119">
        <v>39254</v>
      </c>
      <c r="C225" s="2">
        <v>471</v>
      </c>
      <c r="D225" s="119">
        <v>8127</v>
      </c>
      <c r="E225" s="123">
        <v>2227</v>
      </c>
    </row>
    <row r="226" spans="1:5" x14ac:dyDescent="0.25">
      <c r="A226" s="58">
        <v>45748</v>
      </c>
      <c r="B226" s="119">
        <v>36360</v>
      </c>
      <c r="C226" s="2">
        <v>362</v>
      </c>
      <c r="D226" s="119">
        <v>8160</v>
      </c>
      <c r="E226" s="123">
        <v>2136</v>
      </c>
    </row>
  </sheetData>
  <mergeCells count="2">
    <mergeCell ref="E2:E3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E2D7-07E4-4AFE-B329-62AA20D9A3BA}">
  <dimension ref="B2:J236"/>
  <sheetViews>
    <sheetView workbookViewId="0">
      <pane ySplit="3" topLeftCell="A219" activePane="bottomLeft" state="frozen"/>
      <selection pane="bottomLeft" activeCell="E233" sqref="E233"/>
    </sheetView>
  </sheetViews>
  <sheetFormatPr defaultRowHeight="11.5" x14ac:dyDescent="0.25"/>
  <cols>
    <col min="1" max="1" width="8.7265625" style="1"/>
    <col min="2" max="2" width="8.81640625" style="1" bestFit="1" customWidth="1"/>
    <col min="3" max="3" width="24.6328125" style="1" bestFit="1" customWidth="1"/>
    <col min="4" max="4" width="28.90625" style="1" bestFit="1" customWidth="1"/>
    <col min="5" max="5" width="15.7265625" style="1" bestFit="1" customWidth="1"/>
    <col min="6" max="6" width="16.7265625" style="1" bestFit="1" customWidth="1"/>
    <col min="7" max="7" width="15.7265625" style="1" bestFit="1" customWidth="1"/>
    <col min="8" max="8" width="14.26953125" style="1" bestFit="1" customWidth="1"/>
    <col min="9" max="9" width="8.90625" style="1" bestFit="1" customWidth="1"/>
    <col min="10" max="16384" width="8.7265625" style="1"/>
  </cols>
  <sheetData>
    <row r="2" spans="2:10" x14ac:dyDescent="0.25">
      <c r="B2" s="76"/>
      <c r="C2" s="191" t="s">
        <v>114</v>
      </c>
      <c r="D2" s="192"/>
      <c r="E2" s="31"/>
      <c r="F2" s="31"/>
      <c r="G2" s="31"/>
      <c r="H2" s="32"/>
      <c r="I2" s="4"/>
    </row>
    <row r="3" spans="2:10" ht="23" x14ac:dyDescent="0.25">
      <c r="B3" s="20" t="s">
        <v>33</v>
      </c>
      <c r="C3" s="74" t="s">
        <v>162</v>
      </c>
      <c r="D3" s="27" t="s">
        <v>113</v>
      </c>
      <c r="E3" s="74" t="s">
        <v>35</v>
      </c>
      <c r="F3" s="27" t="s">
        <v>87</v>
      </c>
      <c r="G3" s="28" t="s">
        <v>115</v>
      </c>
      <c r="H3" s="75" t="s">
        <v>163</v>
      </c>
    </row>
    <row r="4" spans="2:10" x14ac:dyDescent="0.25">
      <c r="B4" s="58">
        <v>38991</v>
      </c>
      <c r="C4" s="67">
        <v>281612</v>
      </c>
      <c r="D4" s="67">
        <v>266048</v>
      </c>
      <c r="E4" s="67">
        <v>547660</v>
      </c>
      <c r="F4" s="67">
        <v>92613</v>
      </c>
      <c r="G4" s="67">
        <v>640273</v>
      </c>
      <c r="H4" s="71">
        <v>1.57</v>
      </c>
      <c r="J4" s="64"/>
    </row>
    <row r="5" spans="2:10" x14ac:dyDescent="0.25">
      <c r="B5" s="58">
        <v>39022</v>
      </c>
      <c r="C5" s="67">
        <v>285246</v>
      </c>
      <c r="D5" s="67">
        <v>270247</v>
      </c>
      <c r="E5" s="67">
        <v>555493</v>
      </c>
      <c r="F5" s="67">
        <v>91351</v>
      </c>
      <c r="G5" s="67">
        <v>646844</v>
      </c>
      <c r="H5" s="71">
        <v>1.03</v>
      </c>
      <c r="J5" s="64"/>
    </row>
    <row r="6" spans="2:10" x14ac:dyDescent="0.25">
      <c r="B6" s="58">
        <v>39052</v>
      </c>
      <c r="C6" s="67">
        <v>291789</v>
      </c>
      <c r="D6" s="67">
        <v>263936</v>
      </c>
      <c r="E6" s="67">
        <v>555725</v>
      </c>
      <c r="F6" s="67">
        <v>97311</v>
      </c>
      <c r="G6" s="67">
        <v>653036</v>
      </c>
      <c r="H6" s="71">
        <v>0.96</v>
      </c>
      <c r="J6" s="64"/>
    </row>
    <row r="7" spans="2:10" x14ac:dyDescent="0.25">
      <c r="B7" s="58">
        <v>39083</v>
      </c>
      <c r="C7" s="67">
        <v>293040</v>
      </c>
      <c r="D7" s="67">
        <v>266020</v>
      </c>
      <c r="E7" s="67">
        <v>559060</v>
      </c>
      <c r="F7" s="67">
        <v>98202</v>
      </c>
      <c r="G7" s="67">
        <v>657262</v>
      </c>
      <c r="H7" s="71">
        <v>0.65</v>
      </c>
      <c r="J7" s="64"/>
    </row>
    <row r="8" spans="2:10" x14ac:dyDescent="0.25">
      <c r="B8" s="58">
        <v>39114</v>
      </c>
      <c r="C8" s="67">
        <v>289727</v>
      </c>
      <c r="D8" s="67">
        <v>273416</v>
      </c>
      <c r="E8" s="67">
        <v>563144</v>
      </c>
      <c r="F8" s="67">
        <v>96805</v>
      </c>
      <c r="G8" s="67">
        <v>659949</v>
      </c>
      <c r="H8" s="71">
        <v>0.41</v>
      </c>
      <c r="J8" s="64"/>
    </row>
    <row r="9" spans="2:10" x14ac:dyDescent="0.25">
      <c r="B9" s="58">
        <v>39142</v>
      </c>
      <c r="C9" s="67">
        <v>293928</v>
      </c>
      <c r="D9" s="67">
        <v>283975</v>
      </c>
      <c r="E9" s="67">
        <v>577903</v>
      </c>
      <c r="F9" s="67">
        <v>99446</v>
      </c>
      <c r="G9" s="67">
        <v>677349</v>
      </c>
      <c r="H9" s="71">
        <v>2.64</v>
      </c>
      <c r="J9" s="64"/>
    </row>
    <row r="10" spans="2:10" x14ac:dyDescent="0.25">
      <c r="B10" s="58">
        <v>39173</v>
      </c>
      <c r="C10" s="67">
        <v>299033</v>
      </c>
      <c r="D10" s="67">
        <v>284519</v>
      </c>
      <c r="E10" s="67">
        <v>583552</v>
      </c>
      <c r="F10" s="67">
        <v>98616</v>
      </c>
      <c r="G10" s="67">
        <v>682168</v>
      </c>
      <c r="H10" s="71">
        <v>0.71</v>
      </c>
      <c r="J10" s="64"/>
    </row>
    <row r="11" spans="2:10" x14ac:dyDescent="0.25">
      <c r="B11" s="58">
        <v>39203</v>
      </c>
      <c r="C11" s="67">
        <v>325512</v>
      </c>
      <c r="D11" s="67">
        <v>262671</v>
      </c>
      <c r="E11" s="67">
        <v>588183</v>
      </c>
      <c r="F11" s="67">
        <v>102360</v>
      </c>
      <c r="G11" s="67">
        <v>690543</v>
      </c>
      <c r="H11" s="71">
        <v>1.23</v>
      </c>
      <c r="J11" s="64"/>
    </row>
    <row r="12" spans="2:10" x14ac:dyDescent="0.25">
      <c r="B12" s="58">
        <v>39234</v>
      </c>
      <c r="C12" s="67">
        <v>338825</v>
      </c>
      <c r="D12" s="67">
        <v>269086</v>
      </c>
      <c r="E12" s="67">
        <v>605550</v>
      </c>
      <c r="F12" s="67">
        <v>102842</v>
      </c>
      <c r="G12" s="67">
        <v>708392</v>
      </c>
      <c r="H12" s="71">
        <v>2.58</v>
      </c>
      <c r="J12" s="64"/>
    </row>
    <row r="13" spans="2:10" x14ac:dyDescent="0.25">
      <c r="B13" s="58">
        <v>39264</v>
      </c>
      <c r="C13" s="67">
        <v>339831</v>
      </c>
      <c r="D13" s="67">
        <v>276755</v>
      </c>
      <c r="E13" s="67">
        <v>612677</v>
      </c>
      <c r="F13" s="67">
        <v>100936</v>
      </c>
      <c r="G13" s="67">
        <v>713613</v>
      </c>
      <c r="H13" s="71">
        <v>0.74</v>
      </c>
      <c r="J13" s="64"/>
    </row>
    <row r="14" spans="2:10" x14ac:dyDescent="0.25">
      <c r="B14" s="58">
        <v>39295</v>
      </c>
      <c r="C14" s="67">
        <v>352317</v>
      </c>
      <c r="D14" s="67">
        <v>279218</v>
      </c>
      <c r="E14" s="67">
        <v>629048</v>
      </c>
      <c r="F14" s="67">
        <v>101463</v>
      </c>
      <c r="G14" s="67">
        <v>730511</v>
      </c>
      <c r="H14" s="71">
        <v>2.37</v>
      </c>
      <c r="J14" s="64"/>
    </row>
    <row r="15" spans="2:10" x14ac:dyDescent="0.25">
      <c r="B15" s="58">
        <v>39326</v>
      </c>
      <c r="C15" s="67">
        <v>349774</v>
      </c>
      <c r="D15" s="67">
        <v>284098</v>
      </c>
      <c r="E15" s="67">
        <v>631042</v>
      </c>
      <c r="F15" s="67">
        <v>102287</v>
      </c>
      <c r="G15" s="67">
        <v>733329</v>
      </c>
      <c r="H15" s="71">
        <v>0.39</v>
      </c>
      <c r="J15" s="64"/>
    </row>
    <row r="16" spans="2:10" x14ac:dyDescent="0.25">
      <c r="B16" s="58">
        <v>39356</v>
      </c>
      <c r="C16" s="67">
        <v>350741</v>
      </c>
      <c r="D16" s="67">
        <v>288775</v>
      </c>
      <c r="E16" s="67">
        <v>637641</v>
      </c>
      <c r="F16" s="67">
        <v>102022</v>
      </c>
      <c r="G16" s="67">
        <v>739663</v>
      </c>
      <c r="H16" s="71">
        <v>0.86</v>
      </c>
      <c r="J16" s="64"/>
    </row>
    <row r="17" spans="2:10" x14ac:dyDescent="0.25">
      <c r="B17" s="58">
        <v>39387</v>
      </c>
      <c r="C17" s="67">
        <v>360486</v>
      </c>
      <c r="D17" s="67">
        <v>284890</v>
      </c>
      <c r="E17" s="67">
        <v>643052</v>
      </c>
      <c r="F17" s="67">
        <v>102216</v>
      </c>
      <c r="G17" s="67">
        <v>745268</v>
      </c>
      <c r="H17" s="71">
        <v>0.76</v>
      </c>
      <c r="J17" s="64"/>
    </row>
    <row r="18" spans="2:10" x14ac:dyDescent="0.25">
      <c r="B18" s="58">
        <v>39417</v>
      </c>
      <c r="C18" s="67">
        <v>373310</v>
      </c>
      <c r="D18" s="67">
        <v>295956</v>
      </c>
      <c r="E18" s="67">
        <v>666875</v>
      </c>
      <c r="F18" s="67">
        <v>110721</v>
      </c>
      <c r="G18" s="67">
        <v>777596</v>
      </c>
      <c r="H18" s="71">
        <v>4.34</v>
      </c>
      <c r="J18" s="64"/>
    </row>
    <row r="19" spans="2:10" x14ac:dyDescent="0.25">
      <c r="B19" s="58">
        <v>39448</v>
      </c>
      <c r="C19" s="67">
        <v>378042</v>
      </c>
      <c r="D19" s="67">
        <v>304222</v>
      </c>
      <c r="E19" s="67">
        <v>682264</v>
      </c>
      <c r="F19" s="67">
        <v>118984</v>
      </c>
      <c r="G19" s="67">
        <v>801248</v>
      </c>
      <c r="H19" s="71">
        <v>3.04</v>
      </c>
      <c r="J19" s="64"/>
    </row>
    <row r="20" spans="2:10" x14ac:dyDescent="0.25">
      <c r="B20" s="58">
        <v>39479</v>
      </c>
      <c r="C20" s="67">
        <v>378872</v>
      </c>
      <c r="D20" s="67">
        <v>313491</v>
      </c>
      <c r="E20" s="67">
        <v>692363</v>
      </c>
      <c r="F20" s="67">
        <v>117844</v>
      </c>
      <c r="G20" s="67">
        <v>810207</v>
      </c>
      <c r="H20" s="71">
        <v>1.1200000000000001</v>
      </c>
      <c r="J20" s="64"/>
    </row>
    <row r="21" spans="2:10" x14ac:dyDescent="0.25">
      <c r="B21" s="58">
        <v>39508</v>
      </c>
      <c r="C21" s="67">
        <v>380141</v>
      </c>
      <c r="D21" s="67">
        <v>317001</v>
      </c>
      <c r="E21" s="67">
        <v>697142</v>
      </c>
      <c r="F21" s="67">
        <v>114072</v>
      </c>
      <c r="G21" s="67">
        <v>811214</v>
      </c>
      <c r="H21" s="71">
        <v>0.12</v>
      </c>
      <c r="J21" s="64"/>
    </row>
    <row r="22" spans="2:10" x14ac:dyDescent="0.25">
      <c r="B22" s="58">
        <v>39539</v>
      </c>
      <c r="C22" s="67">
        <v>436622</v>
      </c>
      <c r="D22" s="67">
        <v>315386</v>
      </c>
      <c r="E22" s="67">
        <v>752008</v>
      </c>
      <c r="F22" s="67">
        <v>112097</v>
      </c>
      <c r="G22" s="67">
        <v>864105</v>
      </c>
      <c r="H22" s="71">
        <v>6.52</v>
      </c>
      <c r="J22" s="64"/>
    </row>
    <row r="23" spans="2:10" x14ac:dyDescent="0.25">
      <c r="B23" s="58">
        <v>39569</v>
      </c>
      <c r="C23" s="67">
        <v>395158</v>
      </c>
      <c r="D23" s="67">
        <v>316072</v>
      </c>
      <c r="E23" s="67">
        <v>711230</v>
      </c>
      <c r="F23" s="67">
        <v>128009</v>
      </c>
      <c r="G23" s="67">
        <v>839239</v>
      </c>
      <c r="H23" s="71">
        <v>-2.88</v>
      </c>
      <c r="J23" s="64"/>
    </row>
    <row r="24" spans="2:10" x14ac:dyDescent="0.25">
      <c r="B24" s="58">
        <v>39600</v>
      </c>
      <c r="C24" s="67">
        <v>391824</v>
      </c>
      <c r="D24" s="67">
        <v>327485</v>
      </c>
      <c r="E24" s="67">
        <v>719309</v>
      </c>
      <c r="F24" s="67">
        <v>121370</v>
      </c>
      <c r="G24" s="67">
        <v>840679</v>
      </c>
      <c r="H24" s="71">
        <v>0.17</v>
      </c>
      <c r="J24" s="64"/>
    </row>
    <row r="25" spans="2:10" x14ac:dyDescent="0.25">
      <c r="B25" s="58">
        <v>39630</v>
      </c>
      <c r="C25" s="67">
        <v>382174</v>
      </c>
      <c r="D25" s="67">
        <v>337986</v>
      </c>
      <c r="E25" s="67">
        <v>720160</v>
      </c>
      <c r="F25" s="67">
        <v>130252</v>
      </c>
      <c r="G25" s="67">
        <v>850412</v>
      </c>
      <c r="H25" s="71">
        <v>1.1599999999999999</v>
      </c>
      <c r="J25" s="64"/>
    </row>
    <row r="26" spans="2:10" x14ac:dyDescent="0.25">
      <c r="B26" s="58">
        <v>39661</v>
      </c>
      <c r="C26" s="67">
        <v>383424</v>
      </c>
      <c r="D26" s="67">
        <v>340932</v>
      </c>
      <c r="E26" s="67">
        <v>724356</v>
      </c>
      <c r="F26" s="67">
        <v>130596</v>
      </c>
      <c r="G26" s="67">
        <v>854952</v>
      </c>
      <c r="H26" s="71">
        <v>0.53</v>
      </c>
      <c r="J26" s="64"/>
    </row>
    <row r="27" spans="2:10" x14ac:dyDescent="0.25">
      <c r="B27" s="58">
        <v>39692</v>
      </c>
      <c r="C27" s="67">
        <v>385004</v>
      </c>
      <c r="D27" s="67">
        <v>351460</v>
      </c>
      <c r="E27" s="67">
        <v>736464</v>
      </c>
      <c r="F27" s="67">
        <v>122864</v>
      </c>
      <c r="G27" s="67">
        <v>859328</v>
      </c>
      <c r="H27" s="71">
        <v>0.51</v>
      </c>
      <c r="J27" s="64"/>
    </row>
    <row r="28" spans="2:10" x14ac:dyDescent="0.25">
      <c r="B28" s="58">
        <v>39722</v>
      </c>
      <c r="C28" s="67">
        <v>398571</v>
      </c>
      <c r="D28" s="67">
        <v>355467</v>
      </c>
      <c r="E28" s="67">
        <v>754038</v>
      </c>
      <c r="F28" s="67">
        <v>129854</v>
      </c>
      <c r="G28" s="67">
        <v>883892</v>
      </c>
      <c r="H28" s="71">
        <v>2.86</v>
      </c>
      <c r="J28" s="64"/>
    </row>
    <row r="29" spans="2:10" x14ac:dyDescent="0.25">
      <c r="B29" s="58">
        <v>39753</v>
      </c>
      <c r="C29" s="67">
        <v>393400</v>
      </c>
      <c r="D29" s="67">
        <v>358784</v>
      </c>
      <c r="E29" s="67">
        <v>752184</v>
      </c>
      <c r="F29" s="67">
        <v>138049</v>
      </c>
      <c r="G29" s="67">
        <v>890233</v>
      </c>
      <c r="H29" s="71">
        <v>0.72</v>
      </c>
      <c r="J29" s="64"/>
    </row>
    <row r="30" spans="2:10" x14ac:dyDescent="0.25">
      <c r="B30" s="58">
        <v>39783</v>
      </c>
      <c r="C30" s="67">
        <v>392778</v>
      </c>
      <c r="D30" s="67">
        <v>373831</v>
      </c>
      <c r="E30" s="67">
        <v>766471</v>
      </c>
      <c r="F30" s="67">
        <v>134584</v>
      </c>
      <c r="G30" s="67">
        <v>901055</v>
      </c>
      <c r="H30" s="71">
        <v>1.22</v>
      </c>
      <c r="J30" s="64"/>
    </row>
    <row r="31" spans="2:10" x14ac:dyDescent="0.25">
      <c r="B31" s="58">
        <v>39814</v>
      </c>
      <c r="C31" s="67">
        <v>398736</v>
      </c>
      <c r="D31" s="67">
        <v>365034</v>
      </c>
      <c r="E31" s="67">
        <v>763876</v>
      </c>
      <c r="F31" s="67">
        <v>131521</v>
      </c>
      <c r="G31" s="67">
        <v>895397</v>
      </c>
      <c r="H31" s="71">
        <v>-0.63</v>
      </c>
      <c r="J31" s="64"/>
    </row>
    <row r="32" spans="2:10" x14ac:dyDescent="0.25">
      <c r="B32" s="58">
        <v>39845</v>
      </c>
      <c r="C32" s="67">
        <v>380498</v>
      </c>
      <c r="D32" s="67">
        <v>387828</v>
      </c>
      <c r="E32" s="67">
        <v>768326</v>
      </c>
      <c r="F32" s="67">
        <v>131705</v>
      </c>
      <c r="G32" s="67">
        <v>900031</v>
      </c>
      <c r="H32" s="71">
        <v>0.52</v>
      </c>
      <c r="J32" s="64"/>
    </row>
    <row r="33" spans="2:10" x14ac:dyDescent="0.25">
      <c r="B33" s="58">
        <v>39873</v>
      </c>
      <c r="C33" s="67">
        <v>408331</v>
      </c>
      <c r="D33" s="67">
        <v>372325</v>
      </c>
      <c r="E33" s="67">
        <v>780656</v>
      </c>
      <c r="F33" s="67">
        <v>125415</v>
      </c>
      <c r="G33" s="67">
        <v>906071</v>
      </c>
      <c r="H33" s="71">
        <v>0.67</v>
      </c>
      <c r="J33" s="64"/>
    </row>
    <row r="34" spans="2:10" x14ac:dyDescent="0.25">
      <c r="B34" s="58">
        <v>39904</v>
      </c>
      <c r="C34" s="67">
        <v>382800</v>
      </c>
      <c r="D34" s="67">
        <v>410779</v>
      </c>
      <c r="E34" s="67">
        <v>793579</v>
      </c>
      <c r="F34" s="67">
        <v>135260</v>
      </c>
      <c r="G34" s="67">
        <v>928839</v>
      </c>
      <c r="H34" s="71">
        <v>2.5099999999999998</v>
      </c>
      <c r="J34" s="64"/>
    </row>
    <row r="35" spans="2:10" x14ac:dyDescent="0.25">
      <c r="B35" s="58">
        <v>39934</v>
      </c>
      <c r="C35" s="67">
        <v>392856</v>
      </c>
      <c r="D35" s="67">
        <v>402860</v>
      </c>
      <c r="E35" s="67">
        <v>795716</v>
      </c>
      <c r="F35" s="67">
        <v>132888</v>
      </c>
      <c r="G35" s="67">
        <v>928604</v>
      </c>
      <c r="H35" s="71">
        <v>-0.03</v>
      </c>
      <c r="J35" s="64"/>
    </row>
    <row r="36" spans="2:10" x14ac:dyDescent="0.25">
      <c r="B36" s="58">
        <v>39965</v>
      </c>
      <c r="C36" s="67">
        <v>400653</v>
      </c>
      <c r="D36" s="67">
        <v>411705</v>
      </c>
      <c r="E36" s="67">
        <v>812358</v>
      </c>
      <c r="F36" s="67">
        <v>137881</v>
      </c>
      <c r="G36" s="67">
        <v>950239</v>
      </c>
      <c r="H36" s="71">
        <v>2.33</v>
      </c>
      <c r="J36" s="64"/>
    </row>
    <row r="37" spans="2:10" x14ac:dyDescent="0.25">
      <c r="B37" s="58">
        <v>39995</v>
      </c>
      <c r="C37" s="67">
        <v>427483</v>
      </c>
      <c r="D37" s="67">
        <v>401223</v>
      </c>
      <c r="E37" s="67">
        <v>828706</v>
      </c>
      <c r="F37" s="67">
        <v>144917</v>
      </c>
      <c r="G37" s="67">
        <v>973623</v>
      </c>
      <c r="H37" s="71">
        <v>2.46</v>
      </c>
      <c r="J37" s="64"/>
    </row>
    <row r="38" spans="2:10" x14ac:dyDescent="0.25">
      <c r="B38" s="58">
        <v>40026</v>
      </c>
      <c r="C38" s="67">
        <v>433609</v>
      </c>
      <c r="D38" s="67">
        <v>401569</v>
      </c>
      <c r="E38" s="67">
        <v>835178</v>
      </c>
      <c r="F38" s="67">
        <v>147676</v>
      </c>
      <c r="G38" s="67">
        <v>982854</v>
      </c>
      <c r="H38" s="71">
        <v>0.95</v>
      </c>
      <c r="J38" s="64"/>
    </row>
    <row r="39" spans="2:10" x14ac:dyDescent="0.25">
      <c r="B39" s="58">
        <v>40057</v>
      </c>
      <c r="C39" s="67">
        <v>433354</v>
      </c>
      <c r="D39" s="67">
        <v>416043</v>
      </c>
      <c r="E39" s="67">
        <v>849397</v>
      </c>
      <c r="F39" s="67">
        <v>137504</v>
      </c>
      <c r="G39" s="67">
        <v>986901</v>
      </c>
      <c r="H39" s="71">
        <v>0.41</v>
      </c>
      <c r="J39" s="64"/>
    </row>
    <row r="40" spans="2:10" x14ac:dyDescent="0.25">
      <c r="B40" s="58">
        <v>40087</v>
      </c>
      <c r="C40" s="67">
        <v>447431</v>
      </c>
      <c r="D40" s="67">
        <v>424352</v>
      </c>
      <c r="E40" s="67">
        <v>871783</v>
      </c>
      <c r="F40" s="67">
        <v>134226</v>
      </c>
      <c r="G40" s="67">
        <v>1006009</v>
      </c>
      <c r="H40" s="71">
        <v>1.94</v>
      </c>
      <c r="J40" s="64"/>
    </row>
    <row r="41" spans="2:10" x14ac:dyDescent="0.25">
      <c r="B41" s="58">
        <v>40118</v>
      </c>
      <c r="C41" s="67">
        <v>440954</v>
      </c>
      <c r="D41" s="67">
        <v>438739</v>
      </c>
      <c r="E41" s="67">
        <v>879693</v>
      </c>
      <c r="F41" s="67">
        <v>142646</v>
      </c>
      <c r="G41" s="67">
        <v>1022339</v>
      </c>
      <c r="H41" s="71">
        <v>1.62</v>
      </c>
      <c r="J41" s="64"/>
    </row>
    <row r="42" spans="2:10" x14ac:dyDescent="0.25">
      <c r="B42" s="58">
        <v>40148</v>
      </c>
      <c r="C42" s="67">
        <v>442245</v>
      </c>
      <c r="D42" s="67">
        <v>456003</v>
      </c>
      <c r="E42" s="67">
        <v>898099</v>
      </c>
      <c r="F42" s="67">
        <v>147558</v>
      </c>
      <c r="G42" s="67">
        <v>1045657</v>
      </c>
      <c r="H42" s="71">
        <v>2.2799999999999998</v>
      </c>
      <c r="J42" s="64"/>
    </row>
    <row r="43" spans="2:10" x14ac:dyDescent="0.25">
      <c r="B43" s="58">
        <v>40179</v>
      </c>
      <c r="C43" s="67">
        <v>463449</v>
      </c>
      <c r="D43" s="67">
        <v>453585</v>
      </c>
      <c r="E43" s="67">
        <v>917034</v>
      </c>
      <c r="F43" s="67">
        <v>150237</v>
      </c>
      <c r="G43" s="67">
        <v>1067271</v>
      </c>
      <c r="H43" s="71">
        <v>2.0699999999999998</v>
      </c>
      <c r="J43" s="64"/>
    </row>
    <row r="44" spans="2:10" x14ac:dyDescent="0.25">
      <c r="B44" s="58">
        <v>40210</v>
      </c>
      <c r="C44" s="67">
        <v>457899</v>
      </c>
      <c r="D44" s="67">
        <v>480420</v>
      </c>
      <c r="E44" s="67">
        <v>938319</v>
      </c>
      <c r="F44" s="67">
        <v>146026</v>
      </c>
      <c r="G44" s="67">
        <v>1084345</v>
      </c>
      <c r="H44" s="71">
        <v>1.6</v>
      </c>
      <c r="J44" s="64"/>
    </row>
    <row r="45" spans="2:10" x14ac:dyDescent="0.25">
      <c r="B45" s="58">
        <v>40238</v>
      </c>
      <c r="C45" s="67">
        <v>465082</v>
      </c>
      <c r="D45" s="67">
        <v>494051</v>
      </c>
      <c r="E45" s="67">
        <v>959133</v>
      </c>
      <c r="F45" s="67">
        <v>148763</v>
      </c>
      <c r="G45" s="67">
        <v>1107896</v>
      </c>
      <c r="H45" s="71">
        <v>2.17</v>
      </c>
      <c r="J45" s="64"/>
    </row>
    <row r="46" spans="2:10" x14ac:dyDescent="0.25">
      <c r="B46" s="58">
        <v>40269</v>
      </c>
      <c r="C46" s="67">
        <v>476702</v>
      </c>
      <c r="D46" s="67">
        <v>492026</v>
      </c>
      <c r="E46" s="67">
        <v>968728</v>
      </c>
      <c r="F46" s="67">
        <v>154062</v>
      </c>
      <c r="G46" s="67">
        <v>1122790</v>
      </c>
      <c r="H46" s="71">
        <v>1.34</v>
      </c>
      <c r="J46" s="64"/>
    </row>
    <row r="47" spans="2:10" x14ac:dyDescent="0.25">
      <c r="B47" s="58">
        <v>40299</v>
      </c>
      <c r="C47" s="67">
        <v>491196</v>
      </c>
      <c r="D47" s="67">
        <v>508142</v>
      </c>
      <c r="E47" s="67">
        <v>999338</v>
      </c>
      <c r="F47" s="67">
        <v>160257</v>
      </c>
      <c r="G47" s="67">
        <v>1159595</v>
      </c>
      <c r="H47" s="71">
        <v>3.28</v>
      </c>
      <c r="J47" s="64"/>
    </row>
    <row r="48" spans="2:10" x14ac:dyDescent="0.25">
      <c r="B48" s="58">
        <v>40330</v>
      </c>
      <c r="C48" s="67">
        <v>511584</v>
      </c>
      <c r="D48" s="67">
        <v>522283</v>
      </c>
      <c r="E48" s="67">
        <v>1033867</v>
      </c>
      <c r="F48" s="67">
        <v>165063</v>
      </c>
      <c r="G48" s="67">
        <v>1198930</v>
      </c>
      <c r="H48" s="71">
        <v>3.39</v>
      </c>
      <c r="J48" s="64"/>
    </row>
    <row r="49" spans="2:10" x14ac:dyDescent="0.25">
      <c r="B49" s="58">
        <v>40360</v>
      </c>
      <c r="C49" s="67">
        <v>522316</v>
      </c>
      <c r="D49" s="67">
        <v>521895</v>
      </c>
      <c r="E49" s="67">
        <v>1044211</v>
      </c>
      <c r="F49" s="67">
        <v>169001</v>
      </c>
      <c r="G49" s="67">
        <v>1213212</v>
      </c>
      <c r="H49" s="71">
        <v>1.19</v>
      </c>
      <c r="J49" s="64"/>
    </row>
    <row r="50" spans="2:10" x14ac:dyDescent="0.25">
      <c r="B50" s="58">
        <v>40391</v>
      </c>
      <c r="C50" s="67">
        <v>514793</v>
      </c>
      <c r="D50" s="67">
        <v>529594</v>
      </c>
      <c r="E50" s="67">
        <v>1044387</v>
      </c>
      <c r="F50" s="67">
        <v>172442</v>
      </c>
      <c r="G50" s="67">
        <v>1216829</v>
      </c>
      <c r="H50" s="71">
        <v>0.3</v>
      </c>
      <c r="J50" s="64"/>
    </row>
    <row r="51" spans="2:10" x14ac:dyDescent="0.25">
      <c r="B51" s="58">
        <v>40422</v>
      </c>
      <c r="C51" s="67">
        <v>536865</v>
      </c>
      <c r="D51" s="67">
        <v>541587</v>
      </c>
      <c r="E51" s="67">
        <v>1078452</v>
      </c>
      <c r="F51" s="67">
        <v>165154</v>
      </c>
      <c r="G51" s="67">
        <v>1243606</v>
      </c>
      <c r="H51" s="71">
        <v>2.5099999999999998</v>
      </c>
      <c r="J51" s="64"/>
    </row>
    <row r="52" spans="2:10" x14ac:dyDescent="0.25">
      <c r="B52" s="58">
        <v>40452</v>
      </c>
      <c r="C52" s="67">
        <v>553377</v>
      </c>
      <c r="D52" s="67">
        <v>533089</v>
      </c>
      <c r="E52" s="66">
        <v>1086466</v>
      </c>
      <c r="F52" s="67">
        <v>168022</v>
      </c>
      <c r="G52" s="66">
        <v>1254488</v>
      </c>
      <c r="H52" s="97">
        <v>0.88</v>
      </c>
      <c r="J52" s="64"/>
    </row>
    <row r="53" spans="2:10" x14ac:dyDescent="0.25">
      <c r="B53" s="58">
        <v>40483</v>
      </c>
      <c r="C53" s="67">
        <v>562671</v>
      </c>
      <c r="D53" s="67">
        <v>525996</v>
      </c>
      <c r="E53" s="66">
        <v>1088667</v>
      </c>
      <c r="F53" s="67">
        <v>170145</v>
      </c>
      <c r="G53" s="66">
        <v>1258812</v>
      </c>
      <c r="H53" s="97">
        <v>0.34</v>
      </c>
      <c r="J53" s="64"/>
    </row>
    <row r="54" spans="2:10" x14ac:dyDescent="0.25">
      <c r="B54" s="58">
        <v>40513</v>
      </c>
      <c r="C54" s="67">
        <v>577206</v>
      </c>
      <c r="D54" s="67">
        <v>522144</v>
      </c>
      <c r="E54" s="66">
        <v>1099350</v>
      </c>
      <c r="F54" s="67">
        <v>172288</v>
      </c>
      <c r="G54" s="66">
        <v>1271638</v>
      </c>
      <c r="H54" s="97">
        <v>1.02</v>
      </c>
      <c r="J54" s="64"/>
    </row>
    <row r="55" spans="2:10" x14ac:dyDescent="0.25">
      <c r="B55" s="58">
        <v>40544</v>
      </c>
      <c r="C55" s="67">
        <v>575904</v>
      </c>
      <c r="D55" s="67">
        <v>537997</v>
      </c>
      <c r="E55" s="66">
        <v>1114012</v>
      </c>
      <c r="F55" s="67">
        <v>171440</v>
      </c>
      <c r="G55" s="66">
        <v>1285452</v>
      </c>
      <c r="H55" s="97">
        <v>1.0900000000000001</v>
      </c>
      <c r="J55" s="64"/>
    </row>
    <row r="56" spans="2:10" x14ac:dyDescent="0.25">
      <c r="B56" s="58">
        <v>40575</v>
      </c>
      <c r="C56" s="67">
        <v>586000</v>
      </c>
      <c r="D56" s="67">
        <v>543991</v>
      </c>
      <c r="E56" s="66">
        <v>1130108</v>
      </c>
      <c r="F56" s="67">
        <v>176287</v>
      </c>
      <c r="G56" s="66">
        <v>1306395</v>
      </c>
      <c r="H56" s="97">
        <v>1.63</v>
      </c>
      <c r="J56" s="64"/>
    </row>
    <row r="57" spans="2:10" x14ac:dyDescent="0.25">
      <c r="B57" s="58">
        <v>40603</v>
      </c>
      <c r="C57" s="67">
        <v>603414</v>
      </c>
      <c r="D57" s="67">
        <v>541589</v>
      </c>
      <c r="E57" s="66">
        <v>1145150</v>
      </c>
      <c r="F57" s="67">
        <v>179535</v>
      </c>
      <c r="G57" s="66">
        <v>1324685</v>
      </c>
      <c r="H57" s="97">
        <v>1.4</v>
      </c>
      <c r="J57" s="64"/>
    </row>
    <row r="58" spans="2:10" x14ac:dyDescent="0.25">
      <c r="B58" s="58">
        <v>40634</v>
      </c>
      <c r="C58" s="67">
        <v>592311</v>
      </c>
      <c r="D58" s="67">
        <v>552004</v>
      </c>
      <c r="E58" s="66">
        <v>1144528</v>
      </c>
      <c r="F58" s="67">
        <v>190370</v>
      </c>
      <c r="G58" s="66">
        <v>1334898</v>
      </c>
      <c r="H58" s="97">
        <v>0.77</v>
      </c>
      <c r="J58" s="64"/>
    </row>
    <row r="59" spans="2:10" x14ac:dyDescent="0.25">
      <c r="B59" s="58">
        <v>40664</v>
      </c>
      <c r="C59" s="67">
        <v>605559</v>
      </c>
      <c r="D59" s="67">
        <v>559528</v>
      </c>
      <c r="E59" s="66">
        <v>1183978</v>
      </c>
      <c r="F59" s="67">
        <v>173614</v>
      </c>
      <c r="G59" s="66">
        <v>1357592</v>
      </c>
      <c r="H59" s="97">
        <v>1.7</v>
      </c>
      <c r="J59" s="64"/>
    </row>
    <row r="60" spans="2:10" x14ac:dyDescent="0.25">
      <c r="B60" s="58">
        <v>40695</v>
      </c>
      <c r="C60" s="67">
        <v>620132</v>
      </c>
      <c r="D60" s="67">
        <v>563732</v>
      </c>
      <c r="E60" s="66">
        <v>1197969</v>
      </c>
      <c r="F60" s="67">
        <v>182763</v>
      </c>
      <c r="G60" s="24">
        <v>1380732</v>
      </c>
      <c r="H60" s="97">
        <v>1.7</v>
      </c>
      <c r="J60" s="64"/>
    </row>
    <row r="61" spans="2:10" x14ac:dyDescent="0.25">
      <c r="B61" s="58">
        <v>40725</v>
      </c>
      <c r="C61" s="67">
        <v>624466</v>
      </c>
      <c r="D61" s="67">
        <v>573371</v>
      </c>
      <c r="E61" s="66">
        <v>1203265</v>
      </c>
      <c r="F61" s="67">
        <v>209437</v>
      </c>
      <c r="G61" s="24">
        <v>1412702</v>
      </c>
      <c r="H61" s="97">
        <v>2.3199999999999998</v>
      </c>
      <c r="J61" s="64"/>
    </row>
    <row r="62" spans="2:10" x14ac:dyDescent="0.25">
      <c r="B62" s="58">
        <v>40756</v>
      </c>
      <c r="C62" s="67">
        <v>619973</v>
      </c>
      <c r="D62" s="67">
        <v>583173</v>
      </c>
      <c r="E62" s="66">
        <v>1232949</v>
      </c>
      <c r="F62" s="67">
        <v>203928</v>
      </c>
      <c r="G62" s="66">
        <v>1436877</v>
      </c>
      <c r="H62" s="97">
        <v>1.71</v>
      </c>
      <c r="J62" s="64"/>
    </row>
    <row r="63" spans="2:10" x14ac:dyDescent="0.25">
      <c r="B63" s="58">
        <v>40787</v>
      </c>
      <c r="C63" s="67">
        <v>627711</v>
      </c>
      <c r="D63" s="67">
        <v>605096</v>
      </c>
      <c r="E63" s="66">
        <v>1240252</v>
      </c>
      <c r="F63" s="67">
        <v>243946</v>
      </c>
      <c r="G63" s="66">
        <v>1484198</v>
      </c>
      <c r="H63" s="97">
        <v>3.29</v>
      </c>
      <c r="J63" s="64"/>
    </row>
    <row r="64" spans="2:10" x14ac:dyDescent="0.25">
      <c r="B64" s="58">
        <v>40817</v>
      </c>
      <c r="C64" s="67">
        <v>661745</v>
      </c>
      <c r="D64" s="67">
        <v>577209</v>
      </c>
      <c r="E64" s="66">
        <v>1238834</v>
      </c>
      <c r="F64" s="67">
        <v>274822</v>
      </c>
      <c r="G64" s="66">
        <v>1513656</v>
      </c>
      <c r="H64" s="97">
        <v>1.98</v>
      </c>
      <c r="J64" s="64"/>
    </row>
    <row r="65" spans="2:10" x14ac:dyDescent="0.25">
      <c r="B65" s="58">
        <v>40848</v>
      </c>
      <c r="C65" s="67">
        <v>632682</v>
      </c>
      <c r="D65" s="67">
        <v>606692</v>
      </c>
      <c r="E65" s="66">
        <v>1238922</v>
      </c>
      <c r="F65" s="67">
        <v>250829</v>
      </c>
      <c r="G65" s="66">
        <v>1489751</v>
      </c>
      <c r="H65" s="97">
        <v>-1.58</v>
      </c>
      <c r="J65" s="64"/>
    </row>
    <row r="66" spans="2:10" x14ac:dyDescent="0.25">
      <c r="B66" s="58">
        <v>40878</v>
      </c>
      <c r="C66" s="67">
        <v>622731</v>
      </c>
      <c r="D66" s="67">
        <v>631368</v>
      </c>
      <c r="E66" s="66">
        <v>1253958</v>
      </c>
      <c r="F66" s="67">
        <v>260454</v>
      </c>
      <c r="G66" s="66">
        <v>1514412</v>
      </c>
      <c r="H66" s="97">
        <v>1.57</v>
      </c>
      <c r="J66" s="64"/>
    </row>
    <row r="67" spans="2:10" x14ac:dyDescent="0.25">
      <c r="B67" s="58">
        <v>40909</v>
      </c>
      <c r="C67" s="67">
        <v>606652</v>
      </c>
      <c r="D67" s="67">
        <v>625260</v>
      </c>
      <c r="E67" s="66">
        <v>1231744</v>
      </c>
      <c r="F67" s="67">
        <v>274020</v>
      </c>
      <c r="G67" s="66">
        <v>1505764</v>
      </c>
      <c r="H67" s="97">
        <v>-0.56999999999999995</v>
      </c>
      <c r="J67" s="64"/>
    </row>
    <row r="68" spans="2:10" x14ac:dyDescent="0.25">
      <c r="B68" s="58">
        <v>40940</v>
      </c>
      <c r="C68" s="67">
        <v>619427</v>
      </c>
      <c r="D68" s="67">
        <v>637711</v>
      </c>
      <c r="E68" s="66">
        <v>1256993</v>
      </c>
      <c r="F68" s="67">
        <v>247783</v>
      </c>
      <c r="G68" s="66">
        <v>1504776</v>
      </c>
      <c r="H68" s="97">
        <v>-7.0000000000000007E-2</v>
      </c>
      <c r="J68" s="64"/>
    </row>
    <row r="69" spans="2:10" x14ac:dyDescent="0.25">
      <c r="B69" s="58">
        <v>40969</v>
      </c>
      <c r="C69" s="67">
        <v>611780</v>
      </c>
      <c r="D69" s="67">
        <v>664747</v>
      </c>
      <c r="E69" s="66">
        <v>1276403</v>
      </c>
      <c r="F69" s="67">
        <v>240723</v>
      </c>
      <c r="G69" s="66">
        <v>1517126</v>
      </c>
      <c r="H69" s="97">
        <v>0.82</v>
      </c>
      <c r="J69" s="64"/>
    </row>
    <row r="70" spans="2:10" x14ac:dyDescent="0.25">
      <c r="B70" s="58">
        <v>41000</v>
      </c>
      <c r="C70" s="67">
        <v>628269</v>
      </c>
      <c r="D70" s="67">
        <v>664776</v>
      </c>
      <c r="E70" s="66">
        <v>1292927</v>
      </c>
      <c r="F70" s="67">
        <v>243360</v>
      </c>
      <c r="G70" s="66">
        <v>1536287</v>
      </c>
      <c r="H70" s="97">
        <v>1.26</v>
      </c>
      <c r="J70" s="64"/>
    </row>
    <row r="71" spans="2:10" x14ac:dyDescent="0.25">
      <c r="B71" s="58">
        <v>41030</v>
      </c>
      <c r="C71" s="67">
        <v>616133</v>
      </c>
      <c r="D71" s="67">
        <v>694404</v>
      </c>
      <c r="E71" s="66">
        <v>1310282</v>
      </c>
      <c r="F71" s="67">
        <v>251291</v>
      </c>
      <c r="G71" s="66">
        <v>1561573</v>
      </c>
      <c r="H71" s="97">
        <v>1.65</v>
      </c>
      <c r="J71" s="64"/>
    </row>
    <row r="72" spans="2:10" x14ac:dyDescent="0.25">
      <c r="B72" s="58">
        <v>41061</v>
      </c>
      <c r="C72" s="67">
        <v>623687</v>
      </c>
      <c r="D72" s="67">
        <v>715385</v>
      </c>
      <c r="E72" s="66">
        <v>1339072</v>
      </c>
      <c r="F72" s="67">
        <v>255589</v>
      </c>
      <c r="G72" s="66">
        <v>1594661</v>
      </c>
      <c r="H72" s="97">
        <v>2.12</v>
      </c>
      <c r="J72" s="64"/>
    </row>
    <row r="73" spans="2:10" x14ac:dyDescent="0.25">
      <c r="B73" s="58">
        <v>41091</v>
      </c>
      <c r="C73" s="67">
        <v>638696</v>
      </c>
      <c r="D73" s="67">
        <v>725643</v>
      </c>
      <c r="E73" s="66">
        <v>1363839</v>
      </c>
      <c r="F73" s="67">
        <v>248801</v>
      </c>
      <c r="G73" s="66">
        <v>1612640</v>
      </c>
      <c r="H73" s="97">
        <v>1.1299999999999999</v>
      </c>
      <c r="J73" s="64"/>
    </row>
    <row r="74" spans="2:10" x14ac:dyDescent="0.25">
      <c r="B74" s="58">
        <v>41122</v>
      </c>
      <c r="C74" s="67">
        <v>645590</v>
      </c>
      <c r="D74" s="67">
        <v>738258</v>
      </c>
      <c r="E74" s="66">
        <v>1383848</v>
      </c>
      <c r="F74" s="67">
        <v>254364</v>
      </c>
      <c r="G74" s="66">
        <v>1638212</v>
      </c>
      <c r="H74" s="97">
        <v>1.59</v>
      </c>
      <c r="J74" s="64"/>
    </row>
    <row r="75" spans="2:10" x14ac:dyDescent="0.25">
      <c r="B75" s="58">
        <v>41153</v>
      </c>
      <c r="C75" s="67">
        <v>667410</v>
      </c>
      <c r="D75" s="67">
        <v>711958</v>
      </c>
      <c r="E75" s="66">
        <v>1409368</v>
      </c>
      <c r="F75" s="67">
        <v>261497</v>
      </c>
      <c r="G75" s="66">
        <v>1670865</v>
      </c>
      <c r="H75" s="97">
        <v>1.99</v>
      </c>
      <c r="J75" s="64"/>
    </row>
    <row r="76" spans="2:10" x14ac:dyDescent="0.25">
      <c r="B76" s="58">
        <v>41183</v>
      </c>
      <c r="C76" s="67">
        <v>699118</v>
      </c>
      <c r="D76" s="67">
        <v>735680</v>
      </c>
      <c r="E76" s="66">
        <v>1434486</v>
      </c>
      <c r="F76" s="67">
        <v>268515</v>
      </c>
      <c r="G76" s="66">
        <v>1703001</v>
      </c>
      <c r="H76" s="97">
        <v>1.9</v>
      </c>
      <c r="J76" s="64"/>
    </row>
    <row r="77" spans="2:10" x14ac:dyDescent="0.25">
      <c r="B77" s="58">
        <v>41214</v>
      </c>
      <c r="C77" s="67">
        <v>691377</v>
      </c>
      <c r="D77" s="67">
        <v>773153</v>
      </c>
      <c r="E77" s="66">
        <v>1464186</v>
      </c>
      <c r="F77" s="67">
        <v>276470</v>
      </c>
      <c r="G77" s="66">
        <v>1740656</v>
      </c>
      <c r="H77" s="97">
        <v>2.21</v>
      </c>
      <c r="J77" s="64"/>
    </row>
    <row r="78" spans="2:10" x14ac:dyDescent="0.25">
      <c r="B78" s="58">
        <v>41244</v>
      </c>
      <c r="C78" s="67">
        <v>710844</v>
      </c>
      <c r="D78" s="67">
        <v>759354</v>
      </c>
      <c r="E78" s="66">
        <v>1469399</v>
      </c>
      <c r="F78" s="67">
        <v>257925</v>
      </c>
      <c r="G78" s="66">
        <v>1727324</v>
      </c>
      <c r="H78" s="97">
        <v>-0.74</v>
      </c>
      <c r="J78" s="64"/>
    </row>
    <row r="79" spans="2:10" x14ac:dyDescent="0.25">
      <c r="B79" s="58">
        <v>41275</v>
      </c>
      <c r="C79" s="67">
        <v>704022</v>
      </c>
      <c r="D79" s="67">
        <v>751954</v>
      </c>
      <c r="E79" s="67">
        <v>1455976</v>
      </c>
      <c r="F79" s="67">
        <v>273921</v>
      </c>
      <c r="G79" s="66">
        <v>1729897</v>
      </c>
      <c r="H79" s="97">
        <v>0.15</v>
      </c>
    </row>
    <row r="80" spans="2:10" x14ac:dyDescent="0.25">
      <c r="B80" s="58">
        <v>41306</v>
      </c>
      <c r="C80" s="67">
        <v>715446</v>
      </c>
      <c r="D80" s="67">
        <v>755794</v>
      </c>
      <c r="E80" s="67">
        <v>1471240</v>
      </c>
      <c r="F80" s="67">
        <v>276650</v>
      </c>
      <c r="G80" s="66">
        <v>1747890</v>
      </c>
      <c r="H80" s="97">
        <v>1.04</v>
      </c>
    </row>
    <row r="81" spans="2:8" x14ac:dyDescent="0.25">
      <c r="B81" s="58">
        <v>41334</v>
      </c>
      <c r="C81" s="67">
        <v>720697</v>
      </c>
      <c r="D81" s="67">
        <v>756980</v>
      </c>
      <c r="E81" s="67">
        <v>1477677</v>
      </c>
      <c r="F81" s="67">
        <v>278064</v>
      </c>
      <c r="G81" s="66">
        <v>1755742</v>
      </c>
      <c r="H81" s="97">
        <v>0.45</v>
      </c>
    </row>
    <row r="82" spans="2:8" x14ac:dyDescent="0.25">
      <c r="B82" s="58">
        <v>41365</v>
      </c>
      <c r="C82" s="67">
        <v>753865</v>
      </c>
      <c r="D82" s="67">
        <v>778776</v>
      </c>
      <c r="E82" s="67">
        <v>1532641</v>
      </c>
      <c r="F82" s="67">
        <v>269639</v>
      </c>
      <c r="G82" s="66">
        <v>1802280</v>
      </c>
      <c r="H82" s="97">
        <v>2.65</v>
      </c>
    </row>
    <row r="83" spans="2:8" x14ac:dyDescent="0.25">
      <c r="B83" s="58">
        <v>41395</v>
      </c>
      <c r="C83" s="67">
        <v>751365</v>
      </c>
      <c r="D83" s="67">
        <v>792372</v>
      </c>
      <c r="E83" s="67">
        <v>1543737</v>
      </c>
      <c r="F83" s="67">
        <v>279660</v>
      </c>
      <c r="G83" s="66">
        <v>1823398</v>
      </c>
      <c r="H83" s="97">
        <v>1.17</v>
      </c>
    </row>
    <row r="84" spans="2:8" x14ac:dyDescent="0.25">
      <c r="B84" s="58">
        <v>41426</v>
      </c>
      <c r="C84" s="67">
        <v>752825</v>
      </c>
      <c r="D84" s="67">
        <v>795056</v>
      </c>
      <c r="E84" s="67">
        <v>1547882</v>
      </c>
      <c r="F84" s="67">
        <v>272998</v>
      </c>
      <c r="G84" s="66">
        <v>1820879</v>
      </c>
      <c r="H84" s="97">
        <v>-0.14000000000000001</v>
      </c>
    </row>
    <row r="85" spans="2:8" x14ac:dyDescent="0.25">
      <c r="B85" s="58">
        <v>41456</v>
      </c>
      <c r="C85" s="67">
        <v>756360</v>
      </c>
      <c r="D85" s="67">
        <v>797643</v>
      </c>
      <c r="E85" s="67">
        <v>1554003</v>
      </c>
      <c r="F85" s="67">
        <v>281800</v>
      </c>
      <c r="G85" s="66">
        <v>1835803</v>
      </c>
      <c r="H85" s="97">
        <v>0.82</v>
      </c>
    </row>
    <row r="86" spans="2:8" x14ac:dyDescent="0.25">
      <c r="B86" s="58">
        <v>41487</v>
      </c>
      <c r="C86" s="67">
        <v>758948</v>
      </c>
      <c r="D86" s="67">
        <v>816575</v>
      </c>
      <c r="E86" s="67">
        <v>1575523</v>
      </c>
      <c r="F86" s="67">
        <v>274451</v>
      </c>
      <c r="G86" s="66">
        <v>1849974</v>
      </c>
      <c r="H86" s="97">
        <v>0.77</v>
      </c>
    </row>
    <row r="87" spans="2:8" x14ac:dyDescent="0.25">
      <c r="B87" s="58">
        <v>41518</v>
      </c>
      <c r="C87" s="67">
        <v>802365</v>
      </c>
      <c r="D87" s="67">
        <v>814854</v>
      </c>
      <c r="E87" s="67">
        <v>1617220</v>
      </c>
      <c r="F87" s="67">
        <v>268561</v>
      </c>
      <c r="G87" s="66">
        <v>1885780</v>
      </c>
      <c r="H87" s="97">
        <v>1.94</v>
      </c>
    </row>
    <row r="88" spans="2:8" x14ac:dyDescent="0.25">
      <c r="B88" s="58">
        <v>41548</v>
      </c>
      <c r="C88" s="67">
        <v>810932</v>
      </c>
      <c r="D88" s="67">
        <v>806740</v>
      </c>
      <c r="E88" s="67">
        <v>1617672</v>
      </c>
      <c r="F88" s="67">
        <v>282522</v>
      </c>
      <c r="G88" s="66">
        <v>1900194</v>
      </c>
      <c r="H88" s="97">
        <v>0.76</v>
      </c>
    </row>
    <row r="89" spans="2:8" x14ac:dyDescent="0.25">
      <c r="B89" s="58">
        <v>41579</v>
      </c>
      <c r="C89" s="67">
        <v>828451</v>
      </c>
      <c r="D89" s="67">
        <v>829784</v>
      </c>
      <c r="E89" s="67">
        <v>1658235</v>
      </c>
      <c r="F89" s="67">
        <v>295386</v>
      </c>
      <c r="G89" s="66">
        <v>1953621</v>
      </c>
      <c r="H89" s="97">
        <v>2.81</v>
      </c>
    </row>
    <row r="90" spans="2:8" x14ac:dyDescent="0.25">
      <c r="B90" s="58">
        <v>41609</v>
      </c>
      <c r="C90" s="67">
        <v>827069</v>
      </c>
      <c r="D90" s="67">
        <v>844526</v>
      </c>
      <c r="E90" s="67">
        <v>1671594</v>
      </c>
      <c r="F90" s="67">
        <v>324647</v>
      </c>
      <c r="G90" s="66">
        <v>1996241</v>
      </c>
      <c r="H90" s="97">
        <v>2.1800000000000002</v>
      </c>
    </row>
    <row r="91" spans="2:8" x14ac:dyDescent="0.25">
      <c r="B91" s="58">
        <v>41640</v>
      </c>
      <c r="C91" s="67">
        <v>843803</v>
      </c>
      <c r="D91" s="67">
        <v>855649</v>
      </c>
      <c r="E91" s="67">
        <v>1699452</v>
      </c>
      <c r="F91" s="67">
        <v>327116</v>
      </c>
      <c r="G91" s="67">
        <v>2026568</v>
      </c>
      <c r="H91" s="71">
        <v>1.52</v>
      </c>
    </row>
    <row r="92" spans="2:8" x14ac:dyDescent="0.25">
      <c r="B92" s="58">
        <v>41671</v>
      </c>
      <c r="C92" s="67">
        <v>860767</v>
      </c>
      <c r="D92" s="67">
        <v>873046</v>
      </c>
      <c r="E92" s="67">
        <v>1733813</v>
      </c>
      <c r="F92" s="67">
        <v>296674</v>
      </c>
      <c r="G92" s="67">
        <v>2030487</v>
      </c>
      <c r="H92" s="71">
        <v>0.19</v>
      </c>
    </row>
    <row r="93" spans="2:8" x14ac:dyDescent="0.25">
      <c r="B93" s="58">
        <v>41699</v>
      </c>
      <c r="C93" s="67">
        <v>868067</v>
      </c>
      <c r="D93" s="67">
        <v>890708</v>
      </c>
      <c r="E93" s="67">
        <v>1758775</v>
      </c>
      <c r="F93" s="67">
        <v>301539</v>
      </c>
      <c r="G93" s="67">
        <v>2060314</v>
      </c>
      <c r="H93" s="71">
        <v>1.47</v>
      </c>
    </row>
    <row r="94" spans="2:8" x14ac:dyDescent="0.25">
      <c r="B94" s="58">
        <v>41730</v>
      </c>
      <c r="C94" s="67">
        <v>881421</v>
      </c>
      <c r="D94" s="67">
        <v>898725</v>
      </c>
      <c r="E94" s="67">
        <v>1780146</v>
      </c>
      <c r="F94" s="67">
        <v>320464</v>
      </c>
      <c r="G94" s="67">
        <v>2100610</v>
      </c>
      <c r="H94" s="71">
        <v>1.96</v>
      </c>
    </row>
    <row r="95" spans="2:8" x14ac:dyDescent="0.25">
      <c r="B95" s="58">
        <v>41760</v>
      </c>
      <c r="C95" s="67">
        <v>901172</v>
      </c>
      <c r="D95" s="67">
        <v>926839</v>
      </c>
      <c r="E95" s="67">
        <v>1828011</v>
      </c>
      <c r="F95" s="67">
        <v>319467</v>
      </c>
      <c r="G95" s="67">
        <v>2147478</v>
      </c>
      <c r="H95" s="71">
        <v>2.23</v>
      </c>
    </row>
    <row r="96" spans="2:8" x14ac:dyDescent="0.25">
      <c r="B96" s="58">
        <v>41791</v>
      </c>
      <c r="C96" s="67">
        <v>913017</v>
      </c>
      <c r="D96" s="67">
        <v>925120</v>
      </c>
      <c r="E96" s="67">
        <v>1838137</v>
      </c>
      <c r="F96" s="67">
        <v>313996</v>
      </c>
      <c r="G96" s="67">
        <v>2152133</v>
      </c>
      <c r="H96" s="71">
        <v>0.22</v>
      </c>
    </row>
    <row r="97" spans="2:10" x14ac:dyDescent="0.25">
      <c r="B97" s="58">
        <v>41821</v>
      </c>
      <c r="C97" s="67">
        <v>899431</v>
      </c>
      <c r="D97" s="67">
        <v>946625</v>
      </c>
      <c r="E97" s="67">
        <v>1846056</v>
      </c>
      <c r="F97" s="67">
        <v>344019</v>
      </c>
      <c r="G97" s="67">
        <v>2190075</v>
      </c>
      <c r="H97" s="71">
        <v>1.76</v>
      </c>
    </row>
    <row r="98" spans="2:10" x14ac:dyDescent="0.25">
      <c r="B98" s="58">
        <v>41852</v>
      </c>
      <c r="C98" s="67">
        <v>918416</v>
      </c>
      <c r="D98" s="67">
        <v>972656</v>
      </c>
      <c r="E98" s="67">
        <v>1891072</v>
      </c>
      <c r="F98" s="67">
        <v>362244</v>
      </c>
      <c r="G98" s="67">
        <v>2253316</v>
      </c>
      <c r="H98" s="71">
        <v>2.89</v>
      </c>
    </row>
    <row r="99" spans="2:10" x14ac:dyDescent="0.25">
      <c r="B99" s="58">
        <v>41883</v>
      </c>
      <c r="C99" s="67">
        <v>903124</v>
      </c>
      <c r="D99" s="67">
        <v>990209</v>
      </c>
      <c r="E99" s="67">
        <v>1893333</v>
      </c>
      <c r="F99" s="67">
        <v>358429</v>
      </c>
      <c r="G99" s="67">
        <v>2251762</v>
      </c>
      <c r="H99" s="71">
        <v>-7.0000000000000007E-2</v>
      </c>
    </row>
    <row r="100" spans="2:10" x14ac:dyDescent="0.25">
      <c r="B100" s="58">
        <v>41913</v>
      </c>
      <c r="C100" s="67">
        <v>915658</v>
      </c>
      <c r="D100" s="67">
        <v>999059</v>
      </c>
      <c r="E100" s="67">
        <v>1914717</v>
      </c>
      <c r="F100" s="67">
        <v>345306</v>
      </c>
      <c r="G100" s="67">
        <v>2260023</v>
      </c>
      <c r="H100" s="71">
        <v>0.37</v>
      </c>
    </row>
    <row r="101" spans="2:10" x14ac:dyDescent="0.25">
      <c r="B101" s="58">
        <v>41944</v>
      </c>
      <c r="C101" s="67">
        <v>940488</v>
      </c>
      <c r="D101" s="67">
        <v>1012891</v>
      </c>
      <c r="E101" s="67">
        <v>1953379</v>
      </c>
      <c r="F101" s="67">
        <v>341768</v>
      </c>
      <c r="G101" s="67">
        <v>2295147</v>
      </c>
      <c r="H101" s="71">
        <v>1.56</v>
      </c>
    </row>
    <row r="102" spans="2:10" x14ac:dyDescent="0.25">
      <c r="B102" s="58">
        <v>41974</v>
      </c>
      <c r="C102" s="67">
        <v>936440</v>
      </c>
      <c r="D102" s="67">
        <v>1045421</v>
      </c>
      <c r="E102" s="67">
        <v>1981860</v>
      </c>
      <c r="F102" s="67">
        <v>348119</v>
      </c>
      <c r="G102" s="67">
        <v>2329979</v>
      </c>
      <c r="H102" s="71">
        <v>1.52</v>
      </c>
    </row>
    <row r="103" spans="2:10" x14ac:dyDescent="0.25">
      <c r="B103" s="58">
        <v>42005</v>
      </c>
      <c r="C103" s="67">
        <v>939593</v>
      </c>
      <c r="D103" s="67">
        <v>1048266</v>
      </c>
      <c r="E103" s="67">
        <v>1987859</v>
      </c>
      <c r="F103" s="67">
        <v>362943</v>
      </c>
      <c r="G103" s="67">
        <v>2350802</v>
      </c>
      <c r="H103" s="71">
        <v>0.89</v>
      </c>
    </row>
    <row r="104" spans="2:10" x14ac:dyDescent="0.25">
      <c r="B104" s="58">
        <v>42036</v>
      </c>
      <c r="C104" s="67">
        <v>946469</v>
      </c>
      <c r="D104" s="67">
        <v>1085214</v>
      </c>
      <c r="E104" s="67">
        <v>2031683</v>
      </c>
      <c r="F104" s="67">
        <v>376143</v>
      </c>
      <c r="G104" s="67">
        <v>2407826</v>
      </c>
      <c r="H104" s="71">
        <v>2.4300000000000002</v>
      </c>
      <c r="I104" s="64"/>
    </row>
    <row r="105" spans="2:10" x14ac:dyDescent="0.25">
      <c r="B105" s="58">
        <v>42064</v>
      </c>
      <c r="C105" s="67">
        <v>971266</v>
      </c>
      <c r="D105" s="67">
        <v>1075503</v>
      </c>
      <c r="E105" s="67">
        <v>2046769</v>
      </c>
      <c r="F105" s="67">
        <v>351992</v>
      </c>
      <c r="G105" s="67">
        <v>2398761</v>
      </c>
      <c r="H105" s="71">
        <v>-0.38</v>
      </c>
      <c r="I105" s="64"/>
    </row>
    <row r="106" spans="2:10" x14ac:dyDescent="0.25">
      <c r="B106" s="58">
        <v>42095</v>
      </c>
      <c r="C106" s="67">
        <v>999702</v>
      </c>
      <c r="D106" s="67">
        <v>1087511</v>
      </c>
      <c r="E106" s="67">
        <v>2087213</v>
      </c>
      <c r="F106" s="67">
        <v>377268</v>
      </c>
      <c r="G106" s="67">
        <v>2464481</v>
      </c>
      <c r="H106" s="71">
        <v>2.74</v>
      </c>
      <c r="J106" s="64"/>
    </row>
    <row r="107" spans="2:10" x14ac:dyDescent="0.25">
      <c r="B107" s="58">
        <v>42125</v>
      </c>
      <c r="C107" s="67">
        <v>991192</v>
      </c>
      <c r="D107" s="67">
        <v>1107838</v>
      </c>
      <c r="E107" s="67">
        <v>2099030</v>
      </c>
      <c r="F107" s="67">
        <v>402558</v>
      </c>
      <c r="G107" s="67">
        <v>2501588</v>
      </c>
      <c r="H107" s="71">
        <v>1.51</v>
      </c>
      <c r="J107" s="64"/>
    </row>
    <row r="108" spans="2:10" x14ac:dyDescent="0.25">
      <c r="B108" s="58">
        <v>42156</v>
      </c>
      <c r="C108" s="67">
        <v>1000097</v>
      </c>
      <c r="D108" s="67">
        <v>1138796</v>
      </c>
      <c r="E108" s="67">
        <v>2138893</v>
      </c>
      <c r="F108" s="67">
        <v>413461</v>
      </c>
      <c r="G108" s="67">
        <v>2552354</v>
      </c>
      <c r="H108" s="71">
        <v>2.0299999999999998</v>
      </c>
    </row>
    <row r="109" spans="2:10" x14ac:dyDescent="0.25">
      <c r="B109" s="58">
        <v>42186</v>
      </c>
      <c r="C109" s="67">
        <v>1016663</v>
      </c>
      <c r="D109" s="67">
        <v>1126180</v>
      </c>
      <c r="E109" s="67">
        <v>2142843</v>
      </c>
      <c r="F109" s="67">
        <v>406725</v>
      </c>
      <c r="G109" s="67">
        <v>2549568</v>
      </c>
      <c r="H109" s="71">
        <v>-0.11</v>
      </c>
      <c r="I109" s="64"/>
      <c r="J109" s="64"/>
    </row>
    <row r="110" spans="2:10" x14ac:dyDescent="0.25">
      <c r="B110" s="58">
        <v>42217</v>
      </c>
      <c r="C110" s="67">
        <v>1015251</v>
      </c>
      <c r="D110" s="67">
        <v>1146383</v>
      </c>
      <c r="E110" s="67">
        <v>2161634</v>
      </c>
      <c r="F110" s="67">
        <v>408811</v>
      </c>
      <c r="G110" s="67">
        <v>2570445</v>
      </c>
      <c r="H110" s="71">
        <v>0.82</v>
      </c>
      <c r="J110" s="64"/>
    </row>
    <row r="111" spans="2:10" x14ac:dyDescent="0.25">
      <c r="B111" s="58">
        <v>42248</v>
      </c>
      <c r="C111" s="67">
        <v>979788</v>
      </c>
      <c r="D111" s="67">
        <v>1153975</v>
      </c>
      <c r="E111" s="67">
        <v>2133763</v>
      </c>
      <c r="F111" s="67">
        <v>422694</v>
      </c>
      <c r="G111" s="67">
        <v>2556457</v>
      </c>
      <c r="H111" s="71">
        <v>-0.54</v>
      </c>
      <c r="J111" s="64"/>
    </row>
    <row r="112" spans="2:10" x14ac:dyDescent="0.25">
      <c r="B112" s="58">
        <v>42278</v>
      </c>
      <c r="C112" s="66">
        <v>1022867</v>
      </c>
      <c r="D112" s="66">
        <v>1160030</v>
      </c>
      <c r="E112" s="66">
        <v>2182277</v>
      </c>
      <c r="F112" s="66">
        <v>392430</v>
      </c>
      <c r="G112" s="66">
        <v>2574707</v>
      </c>
      <c r="H112" s="97">
        <v>0.73</v>
      </c>
    </row>
    <row r="113" spans="2:8" x14ac:dyDescent="0.25">
      <c r="B113" s="58">
        <v>42309</v>
      </c>
      <c r="C113" s="66">
        <v>1025979</v>
      </c>
      <c r="D113" s="66">
        <v>1166240</v>
      </c>
      <c r="E113" s="66">
        <v>2191673</v>
      </c>
      <c r="F113" s="66">
        <v>412834</v>
      </c>
      <c r="G113" s="66">
        <v>2604507</v>
      </c>
      <c r="H113" s="97">
        <v>1.1599999999999999</v>
      </c>
    </row>
    <row r="114" spans="2:8" x14ac:dyDescent="0.25">
      <c r="B114" s="58">
        <v>42339</v>
      </c>
      <c r="C114" s="66">
        <v>1023672</v>
      </c>
      <c r="D114" s="66">
        <v>1211701</v>
      </c>
      <c r="E114" s="66">
        <v>2234797</v>
      </c>
      <c r="F114" s="66">
        <v>423369</v>
      </c>
      <c r="G114" s="66">
        <v>2658166</v>
      </c>
      <c r="H114" s="97">
        <v>2.06</v>
      </c>
    </row>
    <row r="115" spans="2:8" x14ac:dyDescent="0.25">
      <c r="B115" s="58">
        <v>42370</v>
      </c>
      <c r="C115" s="67">
        <v>1044123</v>
      </c>
      <c r="D115" s="67">
        <v>1175600</v>
      </c>
      <c r="E115" s="67">
        <v>2219473</v>
      </c>
      <c r="F115" s="67">
        <v>411624</v>
      </c>
      <c r="G115" s="67">
        <v>2631097</v>
      </c>
      <c r="H115" s="71">
        <v>-1.67</v>
      </c>
    </row>
    <row r="116" spans="2:8" x14ac:dyDescent="0.25">
      <c r="B116" s="58">
        <v>42401</v>
      </c>
      <c r="C116" s="67">
        <v>1040914</v>
      </c>
      <c r="D116" s="67">
        <v>1208740</v>
      </c>
      <c r="E116" s="67">
        <v>2249313</v>
      </c>
      <c r="F116" s="67">
        <v>396228</v>
      </c>
      <c r="G116" s="67">
        <v>2645541</v>
      </c>
      <c r="H116" s="71">
        <v>0.53</v>
      </c>
    </row>
    <row r="117" spans="2:8" x14ac:dyDescent="0.25">
      <c r="B117" s="58">
        <v>42430</v>
      </c>
      <c r="C117" s="67">
        <v>1078361</v>
      </c>
      <c r="D117" s="67">
        <v>1203461</v>
      </c>
      <c r="E117" s="67">
        <v>2281572</v>
      </c>
      <c r="F117" s="67">
        <v>399938</v>
      </c>
      <c r="G117" s="67">
        <v>2681510</v>
      </c>
      <c r="H117" s="71">
        <v>1.34</v>
      </c>
    </row>
    <row r="118" spans="2:8" x14ac:dyDescent="0.25">
      <c r="B118" s="58">
        <v>42461</v>
      </c>
      <c r="C118" s="67">
        <v>1103357</v>
      </c>
      <c r="D118" s="67">
        <v>1202378</v>
      </c>
      <c r="E118" s="67">
        <v>2305454</v>
      </c>
      <c r="F118" s="67">
        <v>405680</v>
      </c>
      <c r="G118" s="67">
        <v>2711134</v>
      </c>
      <c r="H118" s="71">
        <v>1.0900000000000001</v>
      </c>
    </row>
    <row r="119" spans="2:8" x14ac:dyDescent="0.25">
      <c r="B119" s="58">
        <v>42491</v>
      </c>
      <c r="C119" s="67">
        <v>1115969</v>
      </c>
      <c r="D119" s="67">
        <v>1201806</v>
      </c>
      <c r="E119" s="67">
        <v>2317524</v>
      </c>
      <c r="F119" s="67">
        <v>410286</v>
      </c>
      <c r="G119" s="67">
        <v>2727810</v>
      </c>
      <c r="H119" s="71">
        <v>0.63</v>
      </c>
    </row>
    <row r="120" spans="2:8" x14ac:dyDescent="0.25">
      <c r="B120" s="58">
        <v>42522</v>
      </c>
      <c r="C120" s="67">
        <v>1135921</v>
      </c>
      <c r="D120" s="67">
        <v>1217968</v>
      </c>
      <c r="E120" s="67">
        <v>2353413</v>
      </c>
      <c r="F120" s="67">
        <v>422815</v>
      </c>
      <c r="G120" s="67">
        <v>2776228</v>
      </c>
      <c r="H120" s="71">
        <v>1.74</v>
      </c>
    </row>
    <row r="121" spans="2:8" x14ac:dyDescent="0.25">
      <c r="B121" s="58">
        <v>42552</v>
      </c>
      <c r="C121" s="67">
        <v>1109460</v>
      </c>
      <c r="D121" s="67">
        <v>1213209</v>
      </c>
      <c r="E121" s="67">
        <v>2321769</v>
      </c>
      <c r="F121" s="67">
        <v>416108</v>
      </c>
      <c r="G121" s="67">
        <v>2737877</v>
      </c>
      <c r="H121" s="71">
        <v>-1.56</v>
      </c>
    </row>
    <row r="122" spans="2:8" x14ac:dyDescent="0.25">
      <c r="B122" s="58">
        <v>42583</v>
      </c>
      <c r="C122" s="67">
        <v>1113870</v>
      </c>
      <c r="D122" s="67">
        <v>1215828</v>
      </c>
      <c r="E122" s="67">
        <v>2328724</v>
      </c>
      <c r="F122" s="67">
        <v>434574</v>
      </c>
      <c r="G122" s="67">
        <v>2763298</v>
      </c>
      <c r="H122" s="71">
        <v>0.96</v>
      </c>
    </row>
    <row r="123" spans="2:8" x14ac:dyDescent="0.25">
      <c r="B123" s="58">
        <v>42614</v>
      </c>
      <c r="C123" s="67">
        <v>1238618</v>
      </c>
      <c r="D123" s="67">
        <v>1104988</v>
      </c>
      <c r="E123" s="67">
        <v>2340196</v>
      </c>
      <c r="F123" s="67">
        <v>441014</v>
      </c>
      <c r="G123" s="67">
        <v>2781210</v>
      </c>
      <c r="H123" s="71">
        <v>0.8</v>
      </c>
    </row>
    <row r="124" spans="2:8" x14ac:dyDescent="0.25">
      <c r="B124" s="58">
        <v>42644</v>
      </c>
      <c r="C124" s="67">
        <v>1273774</v>
      </c>
      <c r="D124" s="67">
        <v>1079570</v>
      </c>
      <c r="E124" s="67">
        <v>2349985</v>
      </c>
      <c r="F124" s="67">
        <v>418318</v>
      </c>
      <c r="G124" s="67">
        <v>2768303</v>
      </c>
      <c r="H124" s="71">
        <v>-0.46</v>
      </c>
    </row>
    <row r="125" spans="2:8" x14ac:dyDescent="0.25">
      <c r="B125" s="58">
        <v>42675</v>
      </c>
      <c r="C125" s="67">
        <v>1287267</v>
      </c>
      <c r="D125" s="67">
        <v>1063968</v>
      </c>
      <c r="E125" s="67">
        <v>2348053</v>
      </c>
      <c r="F125" s="67">
        <v>429574</v>
      </c>
      <c r="G125" s="67">
        <v>2777627</v>
      </c>
      <c r="H125" s="71">
        <v>0.34</v>
      </c>
    </row>
    <row r="126" spans="2:8" x14ac:dyDescent="0.25">
      <c r="B126" s="58">
        <v>42705</v>
      </c>
      <c r="C126" s="67">
        <v>1310016</v>
      </c>
      <c r="D126" s="67">
        <v>1053188</v>
      </c>
      <c r="E126" s="67">
        <v>2360202</v>
      </c>
      <c r="F126" s="67">
        <v>404305</v>
      </c>
      <c r="G126" s="67">
        <v>2764507</v>
      </c>
      <c r="H126" s="71">
        <v>-0.47</v>
      </c>
    </row>
    <row r="127" spans="2:8" x14ac:dyDescent="0.25">
      <c r="B127" s="58">
        <v>42736</v>
      </c>
      <c r="C127" s="67">
        <v>1272950</v>
      </c>
      <c r="D127" s="67">
        <v>1066278</v>
      </c>
      <c r="E127" s="67">
        <v>2336156</v>
      </c>
      <c r="F127" s="67">
        <v>423043</v>
      </c>
      <c r="G127" s="67">
        <v>2759199</v>
      </c>
      <c r="H127" s="71">
        <v>-0.19</v>
      </c>
    </row>
    <row r="128" spans="2:8" x14ac:dyDescent="0.25">
      <c r="B128" s="58">
        <v>42767</v>
      </c>
      <c r="C128" s="67">
        <v>1287123</v>
      </c>
      <c r="D128" s="67">
        <v>1066336</v>
      </c>
      <c r="E128" s="67">
        <v>2350363</v>
      </c>
      <c r="F128" s="67">
        <v>430871</v>
      </c>
      <c r="G128" s="67">
        <v>2781234</v>
      </c>
      <c r="H128" s="71">
        <v>0.8</v>
      </c>
    </row>
    <row r="129" spans="2:8" x14ac:dyDescent="0.25">
      <c r="B129" s="58">
        <v>42795</v>
      </c>
      <c r="C129" s="67">
        <v>1317184</v>
      </c>
      <c r="D129" s="67">
        <v>1097894</v>
      </c>
      <c r="E129" s="67">
        <v>2412103</v>
      </c>
      <c r="F129" s="67">
        <v>434531</v>
      </c>
      <c r="G129" s="67">
        <v>2846634</v>
      </c>
      <c r="H129" s="71">
        <v>2.35</v>
      </c>
    </row>
    <row r="130" spans="2:8" x14ac:dyDescent="0.25">
      <c r="B130" s="58">
        <v>42826</v>
      </c>
      <c r="C130" s="67">
        <v>1363661</v>
      </c>
      <c r="D130" s="67">
        <v>1090238</v>
      </c>
      <c r="E130" s="67">
        <v>2450921</v>
      </c>
      <c r="F130" s="67">
        <v>444445</v>
      </c>
      <c r="G130" s="67">
        <v>2895366</v>
      </c>
      <c r="H130" s="71">
        <v>1.71</v>
      </c>
    </row>
    <row r="131" spans="2:8" x14ac:dyDescent="0.25">
      <c r="B131" s="58">
        <v>42856</v>
      </c>
      <c r="C131" s="67">
        <v>1359121</v>
      </c>
      <c r="D131" s="67">
        <v>1105187</v>
      </c>
      <c r="E131" s="67">
        <v>2461219</v>
      </c>
      <c r="F131" s="67">
        <v>441635</v>
      </c>
      <c r="G131" s="67">
        <v>2902854</v>
      </c>
      <c r="H131" s="71">
        <v>0.26</v>
      </c>
    </row>
    <row r="132" spans="2:8" x14ac:dyDescent="0.25">
      <c r="B132" s="58">
        <v>42887</v>
      </c>
      <c r="C132" s="67">
        <v>1394321</v>
      </c>
      <c r="D132" s="67">
        <v>1093367</v>
      </c>
      <c r="E132" s="67">
        <v>2484654</v>
      </c>
      <c r="F132" s="67">
        <v>450607</v>
      </c>
      <c r="G132" s="67">
        <v>2935261</v>
      </c>
      <c r="H132" s="71">
        <v>1.1200000000000001</v>
      </c>
    </row>
    <row r="133" spans="2:8" x14ac:dyDescent="0.25">
      <c r="B133" s="58">
        <v>42917</v>
      </c>
      <c r="C133" s="67">
        <v>1382374</v>
      </c>
      <c r="D133" s="67">
        <v>1116732</v>
      </c>
      <c r="E133" s="67">
        <v>2496023</v>
      </c>
      <c r="F133" s="67">
        <v>461915</v>
      </c>
      <c r="G133" s="67">
        <v>2957938</v>
      </c>
      <c r="H133" s="71">
        <v>0.77</v>
      </c>
    </row>
    <row r="134" spans="2:8" x14ac:dyDescent="0.25">
      <c r="B134" s="58">
        <v>42948</v>
      </c>
      <c r="C134" s="67">
        <v>1364341</v>
      </c>
      <c r="D134" s="67">
        <v>1141980</v>
      </c>
      <c r="E134" s="67">
        <v>2503153</v>
      </c>
      <c r="F134" s="67">
        <v>463839</v>
      </c>
      <c r="G134" s="67">
        <v>2966992</v>
      </c>
      <c r="H134" s="71">
        <v>0.31</v>
      </c>
    </row>
    <row r="135" spans="2:8" x14ac:dyDescent="0.25">
      <c r="B135" s="58">
        <v>42979</v>
      </c>
      <c r="C135" s="67">
        <v>1382684</v>
      </c>
      <c r="D135" s="67">
        <v>1134920</v>
      </c>
      <c r="E135" s="67">
        <v>2514422</v>
      </c>
      <c r="F135" s="67">
        <v>475220</v>
      </c>
      <c r="G135" s="67">
        <v>2989642</v>
      </c>
      <c r="H135" s="71">
        <v>1.85</v>
      </c>
    </row>
    <row r="136" spans="2:8" x14ac:dyDescent="0.25">
      <c r="B136" s="58">
        <v>43009</v>
      </c>
      <c r="C136" s="67">
        <v>1395418</v>
      </c>
      <c r="D136" s="67">
        <v>1122901</v>
      </c>
      <c r="E136" s="67">
        <v>2515137</v>
      </c>
      <c r="F136" s="67">
        <v>472730</v>
      </c>
      <c r="G136" s="67">
        <v>2987867</v>
      </c>
      <c r="H136" s="71">
        <v>1.01</v>
      </c>
    </row>
    <row r="137" spans="2:8" x14ac:dyDescent="0.25">
      <c r="B137" s="58">
        <v>43040</v>
      </c>
      <c r="C137" s="67">
        <v>1387745</v>
      </c>
      <c r="D137" s="67">
        <v>1136234</v>
      </c>
      <c r="E137" s="67">
        <v>2520985</v>
      </c>
      <c r="F137" s="67">
        <v>491348</v>
      </c>
      <c r="G137" s="67">
        <v>3012333</v>
      </c>
      <c r="H137" s="71">
        <v>1.53</v>
      </c>
    </row>
    <row r="138" spans="2:8" x14ac:dyDescent="0.25">
      <c r="B138" s="58">
        <v>43070</v>
      </c>
      <c r="C138" s="67">
        <v>1397256</v>
      </c>
      <c r="D138" s="67">
        <v>1144234</v>
      </c>
      <c r="E138" s="67">
        <v>2538195</v>
      </c>
      <c r="F138" s="67">
        <v>489946</v>
      </c>
      <c r="G138" s="67">
        <v>3028141</v>
      </c>
      <c r="H138" s="71">
        <v>1.29</v>
      </c>
    </row>
    <row r="139" spans="2:8" x14ac:dyDescent="0.25">
      <c r="B139" s="58">
        <v>43101</v>
      </c>
      <c r="C139" s="67">
        <v>1363106</v>
      </c>
      <c r="D139" s="67">
        <v>1180536</v>
      </c>
      <c r="E139" s="67">
        <v>2543642</v>
      </c>
      <c r="F139" s="67">
        <v>482460</v>
      </c>
      <c r="G139" s="67">
        <v>3026102</v>
      </c>
      <c r="H139" s="71"/>
    </row>
    <row r="140" spans="2:8" x14ac:dyDescent="0.25">
      <c r="B140" s="58">
        <v>43132</v>
      </c>
      <c r="C140" s="67">
        <v>1383959</v>
      </c>
      <c r="D140" s="67">
        <v>1177326</v>
      </c>
      <c r="E140" s="67">
        <v>2561286</v>
      </c>
      <c r="F140" s="67">
        <v>462231</v>
      </c>
      <c r="G140" s="67">
        <v>3023516</v>
      </c>
      <c r="H140" s="71"/>
    </row>
    <row r="141" spans="2:8" x14ac:dyDescent="0.25">
      <c r="B141" s="58">
        <v>43160</v>
      </c>
      <c r="C141" s="67">
        <v>1361593</v>
      </c>
      <c r="D141" s="67">
        <v>1199345</v>
      </c>
      <c r="E141" s="67">
        <v>2560938</v>
      </c>
      <c r="F141" s="67">
        <v>474458</v>
      </c>
      <c r="G141" s="67">
        <v>3035395</v>
      </c>
      <c r="H141" s="71"/>
    </row>
    <row r="142" spans="2:8" x14ac:dyDescent="0.25">
      <c r="B142" s="58">
        <v>43191</v>
      </c>
      <c r="C142" s="67">
        <v>1405903</v>
      </c>
      <c r="D142" s="67">
        <v>1192621</v>
      </c>
      <c r="E142" s="67">
        <v>2598525</v>
      </c>
      <c r="F142" s="67">
        <v>476288</v>
      </c>
      <c r="G142" s="67">
        <v>3074813</v>
      </c>
      <c r="H142" s="71"/>
    </row>
    <row r="143" spans="2:8" x14ac:dyDescent="0.25">
      <c r="B143" s="58">
        <v>43221</v>
      </c>
      <c r="C143" s="67">
        <v>1400363</v>
      </c>
      <c r="D143" s="67">
        <v>1220683</v>
      </c>
      <c r="E143" s="67">
        <v>2621046</v>
      </c>
      <c r="F143" s="67">
        <v>521025</v>
      </c>
      <c r="G143" s="67">
        <v>3142070</v>
      </c>
      <c r="H143" s="71"/>
    </row>
    <row r="144" spans="2:8" x14ac:dyDescent="0.25">
      <c r="B144" s="58">
        <v>43252</v>
      </c>
      <c r="C144" s="67">
        <v>1425556</v>
      </c>
      <c r="D144" s="67">
        <v>1256322</v>
      </c>
      <c r="E144" s="67">
        <v>2681878</v>
      </c>
      <c r="F144" s="67">
        <v>580762</v>
      </c>
      <c r="G144" s="67">
        <v>3262639</v>
      </c>
      <c r="H144" s="71"/>
    </row>
    <row r="145" spans="2:10" x14ac:dyDescent="0.25">
      <c r="B145" s="58">
        <v>43282</v>
      </c>
      <c r="C145" s="67">
        <v>1434616</v>
      </c>
      <c r="D145" s="67">
        <v>1270606</v>
      </c>
      <c r="E145" s="67">
        <v>2705222</v>
      </c>
      <c r="F145" s="67">
        <v>573568</v>
      </c>
      <c r="G145" s="67">
        <v>3278791</v>
      </c>
      <c r="H145" s="71"/>
    </row>
    <row r="146" spans="2:10" x14ac:dyDescent="0.25">
      <c r="B146" s="58">
        <v>43313</v>
      </c>
      <c r="C146" s="67">
        <v>1393104</v>
      </c>
      <c r="D146" s="67">
        <v>1305655</v>
      </c>
      <c r="E146" s="67">
        <v>2698759</v>
      </c>
      <c r="F146" s="67">
        <v>560966</v>
      </c>
      <c r="G146" s="67">
        <v>3259725</v>
      </c>
      <c r="H146" s="71"/>
    </row>
    <row r="147" spans="2:10" x14ac:dyDescent="0.25">
      <c r="B147" s="58">
        <v>43344</v>
      </c>
      <c r="C147" s="67">
        <v>1379544</v>
      </c>
      <c r="D147" s="67">
        <v>1305377</v>
      </c>
      <c r="E147" s="67">
        <v>2684921</v>
      </c>
      <c r="F147" s="67">
        <v>576160</v>
      </c>
      <c r="G147" s="67">
        <v>3261081</v>
      </c>
      <c r="H147" s="71"/>
    </row>
    <row r="148" spans="2:10" x14ac:dyDescent="0.25">
      <c r="B148" s="58">
        <v>43374</v>
      </c>
      <c r="C148" s="67">
        <v>1436428</v>
      </c>
      <c r="D148" s="67">
        <v>1283358</v>
      </c>
      <c r="E148" s="67">
        <v>2719786</v>
      </c>
      <c r="F148" s="67">
        <v>553218</v>
      </c>
      <c r="G148" s="67">
        <v>3273004</v>
      </c>
      <c r="H148" s="71"/>
    </row>
    <row r="149" spans="2:10" x14ac:dyDescent="0.25">
      <c r="B149" s="58">
        <v>43405</v>
      </c>
      <c r="C149" s="67">
        <v>1409609</v>
      </c>
      <c r="D149" s="67">
        <v>1289822</v>
      </c>
      <c r="E149" s="67">
        <v>2699431</v>
      </c>
      <c r="F149" s="67">
        <v>569611</v>
      </c>
      <c r="G149" s="67">
        <v>3269041</v>
      </c>
      <c r="H149" s="71"/>
    </row>
    <row r="150" spans="2:10" x14ac:dyDescent="0.25">
      <c r="B150" s="58">
        <v>43435</v>
      </c>
      <c r="C150" s="67">
        <v>1477526</v>
      </c>
      <c r="D150" s="67">
        <v>1278447</v>
      </c>
      <c r="E150" s="67">
        <v>2755973</v>
      </c>
      <c r="F150" s="67">
        <v>581859</v>
      </c>
      <c r="G150" s="67">
        <v>3337832</v>
      </c>
      <c r="H150" s="71"/>
    </row>
    <row r="151" spans="2:10" x14ac:dyDescent="0.25">
      <c r="B151" s="58">
        <v>43466</v>
      </c>
      <c r="C151" s="67">
        <v>1464557</v>
      </c>
      <c r="D151" s="67">
        <v>1293082</v>
      </c>
      <c r="E151" s="67">
        <v>2757639</v>
      </c>
      <c r="F151" s="67">
        <v>586644</v>
      </c>
      <c r="G151" s="67">
        <v>3344283</v>
      </c>
      <c r="H151" s="71"/>
    </row>
    <row r="152" spans="2:10" x14ac:dyDescent="0.25">
      <c r="B152" s="58">
        <v>43497</v>
      </c>
      <c r="C152" s="67">
        <v>1461012</v>
      </c>
      <c r="D152" s="67">
        <v>1287545</v>
      </c>
      <c r="E152" s="67">
        <v>2748557</v>
      </c>
      <c r="F152" s="67">
        <v>584920</v>
      </c>
      <c r="G152" s="67">
        <v>3333476</v>
      </c>
      <c r="H152" s="71"/>
    </row>
    <row r="153" spans="2:10" x14ac:dyDescent="0.25">
      <c r="B153" s="58">
        <v>43525</v>
      </c>
      <c r="C153" s="67">
        <v>1520263</v>
      </c>
      <c r="D153" s="67">
        <v>1318146</v>
      </c>
      <c r="E153" s="67">
        <v>2838409</v>
      </c>
      <c r="F153" s="67">
        <v>576915</v>
      </c>
      <c r="G153" s="67">
        <v>3415324</v>
      </c>
      <c r="H153" s="71"/>
    </row>
    <row r="154" spans="2:10" x14ac:dyDescent="0.25">
      <c r="B154" s="58">
        <v>43556</v>
      </c>
      <c r="C154" s="67">
        <v>1501685</v>
      </c>
      <c r="D154" s="67">
        <v>1323773</v>
      </c>
      <c r="E154" s="67">
        <v>2825458</v>
      </c>
      <c r="F154" s="67">
        <v>578930</v>
      </c>
      <c r="G154" s="67">
        <v>3404388</v>
      </c>
      <c r="H154" s="71"/>
    </row>
    <row r="155" spans="2:10" x14ac:dyDescent="0.25">
      <c r="B155" s="58">
        <v>43586</v>
      </c>
      <c r="C155" s="67">
        <v>1495747</v>
      </c>
      <c r="D155" s="67">
        <v>1342542</v>
      </c>
      <c r="E155" s="67">
        <v>2838289</v>
      </c>
      <c r="F155" s="67">
        <v>577947</v>
      </c>
      <c r="G155" s="67">
        <v>3416236</v>
      </c>
      <c r="H155" s="71"/>
    </row>
    <row r="156" spans="2:10" x14ac:dyDescent="0.25">
      <c r="B156" s="58">
        <v>43617</v>
      </c>
      <c r="C156" s="67">
        <v>1575496</v>
      </c>
      <c r="D156" s="67">
        <v>1368241</v>
      </c>
      <c r="E156" s="67">
        <v>2943737</v>
      </c>
      <c r="F156" s="67">
        <v>620493</v>
      </c>
      <c r="G156" s="67">
        <v>3564230</v>
      </c>
      <c r="H156" s="71"/>
    </row>
    <row r="157" spans="2:10" x14ac:dyDescent="0.25">
      <c r="B157" s="58">
        <v>43647</v>
      </c>
      <c r="C157" s="67">
        <v>1510782</v>
      </c>
      <c r="D157" s="67">
        <v>1381836</v>
      </c>
      <c r="E157" s="67">
        <v>2892618</v>
      </c>
      <c r="F157" s="67">
        <v>616817</v>
      </c>
      <c r="G157" s="67">
        <v>3509435</v>
      </c>
      <c r="H157" s="71"/>
      <c r="J157" s="64"/>
    </row>
    <row r="158" spans="2:10" x14ac:dyDescent="0.25">
      <c r="B158" s="58">
        <v>43678</v>
      </c>
      <c r="C158" s="67">
        <v>1469142</v>
      </c>
      <c r="D158" s="67">
        <v>1388187</v>
      </c>
      <c r="E158" s="67">
        <v>2857313</v>
      </c>
      <c r="F158" s="67">
        <v>608163</v>
      </c>
      <c r="G158" s="67">
        <v>3472769</v>
      </c>
      <c r="H158" s="71"/>
      <c r="J158" s="64"/>
    </row>
    <row r="159" spans="2:10" x14ac:dyDescent="0.25">
      <c r="B159" s="58">
        <v>43709</v>
      </c>
      <c r="C159" s="67">
        <v>1459729</v>
      </c>
      <c r="D159" s="67">
        <v>1406263</v>
      </c>
      <c r="E159" s="67">
        <v>2865991</v>
      </c>
      <c r="F159" s="67">
        <v>607399</v>
      </c>
      <c r="G159" s="67">
        <v>3473390</v>
      </c>
      <c r="H159" s="71"/>
      <c r="J159" s="64"/>
    </row>
    <row r="160" spans="2:10" x14ac:dyDescent="0.25">
      <c r="B160" s="58">
        <v>43739</v>
      </c>
      <c r="C160" s="67">
        <v>1479014</v>
      </c>
      <c r="D160" s="67">
        <v>1413154</v>
      </c>
      <c r="E160" s="67">
        <v>2892168</v>
      </c>
      <c r="F160" s="67">
        <v>625373</v>
      </c>
      <c r="G160" s="67">
        <v>3517540</v>
      </c>
      <c r="H160" s="71"/>
      <c r="J160" s="64"/>
    </row>
    <row r="161" spans="2:10" x14ac:dyDescent="0.25">
      <c r="B161" s="58">
        <v>43770</v>
      </c>
      <c r="C161" s="67">
        <v>1460223</v>
      </c>
      <c r="D161" s="67">
        <v>1389210</v>
      </c>
      <c r="E161" s="67">
        <v>2849432</v>
      </c>
      <c r="F161" s="67">
        <v>612545</v>
      </c>
      <c r="G161" s="67">
        <v>3461978</v>
      </c>
      <c r="H161" s="71"/>
      <c r="J161" s="64"/>
    </row>
    <row r="162" spans="2:10" x14ac:dyDescent="0.25">
      <c r="B162" s="58">
        <v>43800</v>
      </c>
      <c r="C162" s="66">
        <v>1525237</v>
      </c>
      <c r="D162" s="66">
        <v>1379115</v>
      </c>
      <c r="E162" s="66">
        <v>2904352</v>
      </c>
      <c r="F162" s="66">
        <v>619675</v>
      </c>
      <c r="G162" s="66">
        <v>3524026</v>
      </c>
      <c r="H162" s="97">
        <v>1.79</v>
      </c>
    </row>
    <row r="163" spans="2:10" x14ac:dyDescent="0.25">
      <c r="B163" s="58">
        <v>43831</v>
      </c>
      <c r="C163" s="67">
        <v>1524030</v>
      </c>
      <c r="D163" s="67">
        <v>1391678</v>
      </c>
      <c r="E163" s="67">
        <v>2915709</v>
      </c>
      <c r="F163" s="67">
        <v>611296</v>
      </c>
      <c r="G163" s="67">
        <v>3527005</v>
      </c>
      <c r="H163" s="71">
        <v>0.08</v>
      </c>
    </row>
    <row r="164" spans="2:10" x14ac:dyDescent="0.25">
      <c r="B164" s="58">
        <v>43862</v>
      </c>
      <c r="C164" s="67">
        <v>1568052</v>
      </c>
      <c r="D164" s="67">
        <v>1402049</v>
      </c>
      <c r="E164" s="67">
        <v>2970101</v>
      </c>
      <c r="F164" s="67">
        <v>625949</v>
      </c>
      <c r="G164" s="67">
        <v>3596050</v>
      </c>
      <c r="H164" s="71">
        <v>1.96</v>
      </c>
    </row>
    <row r="165" spans="2:10" x14ac:dyDescent="0.25">
      <c r="B165" s="58">
        <v>43891</v>
      </c>
      <c r="C165" s="67">
        <v>1595107</v>
      </c>
      <c r="D165" s="67">
        <v>1423750</v>
      </c>
      <c r="E165" s="67">
        <v>3018857</v>
      </c>
      <c r="F165" s="67">
        <v>642154</v>
      </c>
      <c r="G165" s="67">
        <v>3661011</v>
      </c>
      <c r="H165" s="71">
        <v>1.81</v>
      </c>
    </row>
    <row r="166" spans="2:10" x14ac:dyDescent="0.25">
      <c r="B166" s="58">
        <v>43922</v>
      </c>
      <c r="C166" s="67">
        <v>1595268</v>
      </c>
      <c r="D166" s="67">
        <v>1443383</v>
      </c>
      <c r="E166" s="67">
        <v>3038651</v>
      </c>
      <c r="F166" s="67">
        <v>657302</v>
      </c>
      <c r="G166" s="67">
        <v>3695953</v>
      </c>
      <c r="H166" s="71">
        <v>0.95</v>
      </c>
    </row>
    <row r="167" spans="2:10" x14ac:dyDescent="0.25">
      <c r="B167" s="58">
        <v>43952</v>
      </c>
      <c r="C167" s="67">
        <v>1602094</v>
      </c>
      <c r="D167" s="67">
        <v>1479236</v>
      </c>
      <c r="E167" s="67">
        <v>3081331</v>
      </c>
      <c r="F167" s="67">
        <v>671450</v>
      </c>
      <c r="G167" s="67">
        <v>3752781</v>
      </c>
      <c r="H167" s="71">
        <v>1.54</v>
      </c>
    </row>
    <row r="168" spans="2:10" x14ac:dyDescent="0.25">
      <c r="B168" s="58">
        <v>43983</v>
      </c>
      <c r="C168" s="67">
        <v>1666550</v>
      </c>
      <c r="D168" s="67">
        <v>1534707</v>
      </c>
      <c r="E168" s="67">
        <v>3201257</v>
      </c>
      <c r="F168" s="67">
        <v>662375</v>
      </c>
      <c r="G168" s="67">
        <v>3863633</v>
      </c>
      <c r="H168" s="71">
        <v>2.95</v>
      </c>
    </row>
    <row r="169" spans="2:10" x14ac:dyDescent="0.25">
      <c r="B169" s="58">
        <v>44013</v>
      </c>
      <c r="C169" s="67">
        <v>1683552</v>
      </c>
      <c r="D169" s="67">
        <v>1553156</v>
      </c>
      <c r="E169" s="67">
        <v>3236708</v>
      </c>
      <c r="F169" s="67">
        <v>668737</v>
      </c>
      <c r="G169" s="67">
        <v>3905444</v>
      </c>
      <c r="H169" s="71">
        <v>1.08</v>
      </c>
    </row>
    <row r="170" spans="2:10" x14ac:dyDescent="0.25">
      <c r="B170" s="58">
        <v>44044</v>
      </c>
      <c r="C170" s="67">
        <v>1655723</v>
      </c>
      <c r="D170" s="67">
        <v>1527030</v>
      </c>
      <c r="E170" s="67">
        <v>3182753</v>
      </c>
      <c r="F170" s="67">
        <v>664218</v>
      </c>
      <c r="G170" s="67">
        <v>3846971</v>
      </c>
      <c r="H170" s="71">
        <v>-1.5</v>
      </c>
    </row>
    <row r="171" spans="2:10" x14ac:dyDescent="0.25">
      <c r="B171" s="58">
        <v>44075</v>
      </c>
      <c r="C171" s="67">
        <v>1665778</v>
      </c>
      <c r="D171" s="67">
        <v>1514748</v>
      </c>
      <c r="E171" s="67">
        <v>3180526</v>
      </c>
      <c r="F171" s="67">
        <v>662974</v>
      </c>
      <c r="G171" s="67">
        <v>3843500</v>
      </c>
      <c r="H171" s="71">
        <v>-0.09</v>
      </c>
    </row>
    <row r="172" spans="2:10" x14ac:dyDescent="0.25">
      <c r="B172" s="58">
        <v>44105</v>
      </c>
      <c r="C172" s="67">
        <v>1741975</v>
      </c>
      <c r="D172" s="67">
        <v>1481554</v>
      </c>
      <c r="E172" s="67">
        <v>3223529</v>
      </c>
      <c r="F172" s="67">
        <v>699221</v>
      </c>
      <c r="G172" s="67">
        <v>3922750</v>
      </c>
      <c r="H172" s="71">
        <v>2.06</v>
      </c>
    </row>
    <row r="173" spans="2:10" x14ac:dyDescent="0.25">
      <c r="B173" s="58">
        <v>44136</v>
      </c>
      <c r="C173" s="67">
        <v>1759898</v>
      </c>
      <c r="D173" s="67">
        <v>1478291</v>
      </c>
      <c r="E173" s="67">
        <v>3238189</v>
      </c>
      <c r="F173" s="67">
        <v>714124</v>
      </c>
      <c r="G173" s="67">
        <v>3952313</v>
      </c>
      <c r="H173" s="71">
        <v>0.75</v>
      </c>
    </row>
    <row r="174" spans="2:10" x14ac:dyDescent="0.25">
      <c r="B174" s="58">
        <v>44166</v>
      </c>
      <c r="C174" s="67">
        <v>1720337</v>
      </c>
      <c r="D174" s="67">
        <v>1529886</v>
      </c>
      <c r="E174" s="67">
        <v>3250223</v>
      </c>
      <c r="F174" s="67">
        <v>740678</v>
      </c>
      <c r="G174" s="67">
        <v>3990900</v>
      </c>
      <c r="H174" s="71">
        <v>0.98</v>
      </c>
    </row>
    <row r="175" spans="2:10" x14ac:dyDescent="0.25">
      <c r="B175" s="58">
        <v>44197</v>
      </c>
      <c r="C175" s="67">
        <v>1716364</v>
      </c>
      <c r="D175" s="67">
        <v>1520544</v>
      </c>
      <c r="E175" s="67">
        <v>3236907</v>
      </c>
      <c r="F175" s="67">
        <v>755977</v>
      </c>
      <c r="G175" s="67">
        <v>3992885</v>
      </c>
      <c r="H175" s="71">
        <v>0.05</v>
      </c>
    </row>
    <row r="176" spans="2:10" x14ac:dyDescent="0.25">
      <c r="B176" s="58">
        <v>44228</v>
      </c>
      <c r="C176" s="67">
        <v>1734582</v>
      </c>
      <c r="D176" s="67">
        <v>1528872</v>
      </c>
      <c r="E176" s="67">
        <v>3263455</v>
      </c>
      <c r="F176" s="67">
        <v>779534</v>
      </c>
      <c r="G176" s="67">
        <v>4042989</v>
      </c>
      <c r="H176" s="71">
        <v>1.25</v>
      </c>
    </row>
    <row r="177" spans="2:8" x14ac:dyDescent="0.25">
      <c r="B177" s="58">
        <v>44256</v>
      </c>
      <c r="C177" s="67">
        <v>1716744</v>
      </c>
      <c r="D177" s="67">
        <v>1533546</v>
      </c>
      <c r="E177" s="67">
        <v>3250290</v>
      </c>
      <c r="F177" s="67">
        <v>779702</v>
      </c>
      <c r="G177" s="67">
        <v>4029992</v>
      </c>
      <c r="H177" s="71">
        <v>-0.32</v>
      </c>
    </row>
    <row r="178" spans="2:8" x14ac:dyDescent="0.25">
      <c r="B178" s="58">
        <v>44287</v>
      </c>
      <c r="C178" s="67">
        <v>1718771</v>
      </c>
      <c r="D178" s="67">
        <v>1559275</v>
      </c>
      <c r="E178" s="67">
        <v>3278045</v>
      </c>
      <c r="F178" s="67">
        <v>762790</v>
      </c>
      <c r="G178" s="67">
        <v>4040835</v>
      </c>
      <c r="H178" s="71">
        <v>0.27</v>
      </c>
    </row>
    <row r="179" spans="2:8" x14ac:dyDescent="0.25">
      <c r="B179" s="58">
        <v>44317</v>
      </c>
      <c r="C179" s="67">
        <v>1726768</v>
      </c>
      <c r="D179" s="67">
        <v>1567399</v>
      </c>
      <c r="E179" s="67">
        <v>3294167</v>
      </c>
      <c r="F179" s="67">
        <v>745442</v>
      </c>
      <c r="G179" s="67">
        <v>4039609</v>
      </c>
      <c r="H179" s="71">
        <v>-0.03</v>
      </c>
    </row>
    <row r="180" spans="2:8" x14ac:dyDescent="0.25">
      <c r="B180" s="58">
        <v>44348</v>
      </c>
      <c r="C180" s="67">
        <v>1779227</v>
      </c>
      <c r="D180" s="67">
        <v>1598250</v>
      </c>
      <c r="E180" s="67">
        <v>3377477</v>
      </c>
      <c r="F180" s="67">
        <v>760336</v>
      </c>
      <c r="G180" s="67">
        <v>4137813</v>
      </c>
      <c r="H180" s="71">
        <v>2.4300000000000002</v>
      </c>
    </row>
    <row r="181" spans="2:8" x14ac:dyDescent="0.25">
      <c r="B181" s="58">
        <v>44378</v>
      </c>
      <c r="C181" s="67">
        <v>1788031</v>
      </c>
      <c r="D181" s="67">
        <v>1628882</v>
      </c>
      <c r="E181" s="67">
        <v>3416913</v>
      </c>
      <c r="F181" s="67">
        <v>757731</v>
      </c>
      <c r="G181" s="67">
        <v>4174644</v>
      </c>
      <c r="H181" s="71">
        <v>0.89</v>
      </c>
    </row>
    <row r="182" spans="2:8" x14ac:dyDescent="0.25">
      <c r="B182" s="58">
        <v>44409</v>
      </c>
      <c r="C182" s="67">
        <v>1821013</v>
      </c>
      <c r="D182" s="67">
        <v>1641354</v>
      </c>
      <c r="E182" s="67">
        <v>3462367</v>
      </c>
      <c r="F182" s="67">
        <v>771070</v>
      </c>
      <c r="G182" s="67">
        <v>4233437</v>
      </c>
      <c r="H182" s="71">
        <v>1.41</v>
      </c>
    </row>
    <row r="183" spans="2:8" x14ac:dyDescent="0.25">
      <c r="B183" s="58">
        <v>44440</v>
      </c>
      <c r="C183" s="67">
        <v>1770791</v>
      </c>
      <c r="D183" s="67">
        <v>1637347</v>
      </c>
      <c r="E183" s="67">
        <v>3408138</v>
      </c>
      <c r="F183" s="67">
        <v>769524</v>
      </c>
      <c r="G183" s="67">
        <v>4177661</v>
      </c>
      <c r="H183" s="71">
        <v>-1.32</v>
      </c>
    </row>
    <row r="184" spans="2:8" x14ac:dyDescent="0.25">
      <c r="B184" s="58">
        <v>44470</v>
      </c>
      <c r="C184" s="67">
        <v>1827519</v>
      </c>
      <c r="D184" s="67">
        <v>1609542</v>
      </c>
      <c r="E184" s="67">
        <v>3437061</v>
      </c>
      <c r="F184" s="67">
        <v>773851</v>
      </c>
      <c r="G184" s="67">
        <v>4210912</v>
      </c>
      <c r="H184" s="71">
        <v>0.8</v>
      </c>
    </row>
    <row r="185" spans="2:8" x14ac:dyDescent="0.25">
      <c r="B185" s="58">
        <v>44501</v>
      </c>
      <c r="C185" s="67">
        <v>1822003</v>
      </c>
      <c r="D185" s="67">
        <v>1613301</v>
      </c>
      <c r="E185" s="67">
        <v>3435304</v>
      </c>
      <c r="F185" s="67">
        <v>798700</v>
      </c>
      <c r="G185" s="67">
        <v>4234004</v>
      </c>
      <c r="H185" s="71">
        <v>0.55000000000000004</v>
      </c>
    </row>
    <row r="186" spans="2:8" x14ac:dyDescent="0.25">
      <c r="B186" s="58">
        <v>44531</v>
      </c>
      <c r="C186" s="67">
        <v>1848086</v>
      </c>
      <c r="D186" s="67">
        <v>1583477</v>
      </c>
      <c r="E186" s="67">
        <v>3431563</v>
      </c>
      <c r="F186" s="67">
        <v>803661</v>
      </c>
      <c r="G186" s="67">
        <v>4235224</v>
      </c>
      <c r="H186" s="71">
        <v>0.03</v>
      </c>
    </row>
    <row r="187" spans="2:8" x14ac:dyDescent="0.25">
      <c r="B187" s="58">
        <v>44562</v>
      </c>
      <c r="C187" s="67">
        <v>1768316</v>
      </c>
      <c r="D187" s="67">
        <v>2081537</v>
      </c>
      <c r="E187" s="67">
        <v>3849853</v>
      </c>
      <c r="F187" s="67">
        <v>794415</v>
      </c>
      <c r="G187" s="67">
        <v>4644268</v>
      </c>
      <c r="H187" s="71">
        <v>-0.96</v>
      </c>
    </row>
    <row r="188" spans="2:8" x14ac:dyDescent="0.25">
      <c r="B188" s="58">
        <v>44593</v>
      </c>
      <c r="C188" s="67">
        <v>1809242</v>
      </c>
      <c r="D188" s="67">
        <v>2084059</v>
      </c>
      <c r="E188" s="67">
        <v>3893301</v>
      </c>
      <c r="F188" s="67">
        <v>804997</v>
      </c>
      <c r="G188" s="67">
        <v>4698298</v>
      </c>
      <c r="H188" s="71">
        <v>1.1599999999999999</v>
      </c>
    </row>
    <row r="189" spans="2:8" x14ac:dyDescent="0.25">
      <c r="B189" s="58">
        <v>44621</v>
      </c>
      <c r="C189" s="67">
        <v>1773259</v>
      </c>
      <c r="D189" s="67">
        <v>2122580</v>
      </c>
      <c r="E189" s="67">
        <v>3895839</v>
      </c>
      <c r="F189" s="67">
        <v>811783</v>
      </c>
      <c r="G189" s="67">
        <v>4707623</v>
      </c>
      <c r="H189" s="71">
        <v>0.2</v>
      </c>
    </row>
    <row r="190" spans="2:8" x14ac:dyDescent="0.25">
      <c r="B190" s="58">
        <v>44652</v>
      </c>
      <c r="C190" s="67">
        <v>1844929</v>
      </c>
      <c r="D190" s="67">
        <v>2132107</v>
      </c>
      <c r="E190" s="67">
        <v>3977036</v>
      </c>
      <c r="F190" s="67">
        <v>834920</v>
      </c>
      <c r="G190" s="67">
        <v>4811956</v>
      </c>
      <c r="H190" s="71">
        <v>2.2200000000000002</v>
      </c>
    </row>
    <row r="191" spans="2:8" x14ac:dyDescent="0.25">
      <c r="B191" s="58">
        <v>44682</v>
      </c>
      <c r="C191" s="67">
        <v>1841107</v>
      </c>
      <c r="D191" s="67">
        <v>2138326</v>
      </c>
      <c r="E191" s="67">
        <v>3979433</v>
      </c>
      <c r="F191" s="67">
        <v>829291</v>
      </c>
      <c r="G191" s="67">
        <v>4808724</v>
      </c>
      <c r="H191" s="71">
        <v>-7.0000000000000007E-2</v>
      </c>
    </row>
    <row r="192" spans="2:8" x14ac:dyDescent="0.25">
      <c r="B192" s="58">
        <v>44713</v>
      </c>
      <c r="C192" s="67">
        <v>1884560</v>
      </c>
      <c r="D192" s="67">
        <v>2156343</v>
      </c>
      <c r="E192" s="67">
        <v>4040903</v>
      </c>
      <c r="F192" s="67">
        <v>892404</v>
      </c>
      <c r="G192" s="67">
        <v>4933307</v>
      </c>
      <c r="H192" s="71">
        <v>2.59</v>
      </c>
    </row>
    <row r="193" spans="2:8" x14ac:dyDescent="0.25">
      <c r="B193" s="58">
        <v>44743</v>
      </c>
      <c r="C193" s="67">
        <v>1988371</v>
      </c>
      <c r="D193" s="67">
        <v>2103782</v>
      </c>
      <c r="E193" s="67">
        <v>4092153</v>
      </c>
      <c r="F193" s="67">
        <v>904965</v>
      </c>
      <c r="G193" s="67">
        <v>4997118</v>
      </c>
      <c r="H193" s="71">
        <v>1.29</v>
      </c>
    </row>
    <row r="194" spans="2:8" x14ac:dyDescent="0.25">
      <c r="B194" s="58">
        <v>44774</v>
      </c>
      <c r="C194" s="67">
        <v>1884789</v>
      </c>
      <c r="D194" s="67">
        <v>2159102</v>
      </c>
      <c r="E194" s="67">
        <v>4043891</v>
      </c>
      <c r="F194" s="67">
        <v>896188</v>
      </c>
      <c r="G194" s="67">
        <v>4940080</v>
      </c>
      <c r="H194" s="71">
        <v>-1.1399999999999999</v>
      </c>
    </row>
    <row r="195" spans="2:8" x14ac:dyDescent="0.25">
      <c r="B195" s="58">
        <v>44805</v>
      </c>
      <c r="C195" s="67">
        <v>1893569</v>
      </c>
      <c r="D195" s="67">
        <v>2154810</v>
      </c>
      <c r="E195" s="67">
        <v>4048378</v>
      </c>
      <c r="F195" s="67">
        <v>878363</v>
      </c>
      <c r="G195" s="67">
        <v>4926741</v>
      </c>
      <c r="H195" s="71">
        <v>-0.27</v>
      </c>
    </row>
    <row r="196" spans="2:8" x14ac:dyDescent="0.25">
      <c r="B196" s="58">
        <v>44835</v>
      </c>
      <c r="C196" s="67">
        <v>1891037</v>
      </c>
      <c r="D196" s="67">
        <v>2138775</v>
      </c>
      <c r="E196" s="67">
        <v>4029812</v>
      </c>
      <c r="F196" s="67">
        <v>901115</v>
      </c>
      <c r="G196" s="67">
        <v>4930927</v>
      </c>
      <c r="H196" s="71">
        <v>0.08</v>
      </c>
    </row>
    <row r="197" spans="2:8" x14ac:dyDescent="0.25">
      <c r="B197" s="58">
        <v>44866</v>
      </c>
      <c r="C197" s="67">
        <v>1879381</v>
      </c>
      <c r="D197" s="67">
        <v>2163436</v>
      </c>
      <c r="E197" s="67">
        <v>4042817</v>
      </c>
      <c r="F197" s="67">
        <v>924111</v>
      </c>
      <c r="G197" s="67">
        <v>4966928</v>
      </c>
      <c r="H197" s="71">
        <v>0.73</v>
      </c>
    </row>
    <row r="198" spans="2:8" x14ac:dyDescent="0.25">
      <c r="B198" s="58">
        <v>44896</v>
      </c>
      <c r="C198" s="67">
        <v>1946405</v>
      </c>
      <c r="D198" s="67">
        <v>2173617</v>
      </c>
      <c r="E198" s="67">
        <v>4120022</v>
      </c>
      <c r="F198" s="67">
        <v>922397</v>
      </c>
      <c r="G198" s="67">
        <v>5042419</v>
      </c>
      <c r="H198" s="71">
        <v>1.52</v>
      </c>
    </row>
    <row r="199" spans="2:8" x14ac:dyDescent="0.25">
      <c r="B199" s="58">
        <v>44927</v>
      </c>
      <c r="C199" s="67">
        <v>1924057</v>
      </c>
      <c r="D199" s="67">
        <v>2207127</v>
      </c>
      <c r="E199" s="67">
        <v>4131184</v>
      </c>
      <c r="F199" s="67">
        <v>946482</v>
      </c>
      <c r="G199" s="67">
        <v>5077667</v>
      </c>
      <c r="H199" s="71">
        <v>0.7</v>
      </c>
    </row>
    <row r="200" spans="2:8" x14ac:dyDescent="0.25">
      <c r="B200" s="58">
        <v>44958</v>
      </c>
      <c r="C200" s="67">
        <v>2078290</v>
      </c>
      <c r="D200" s="67">
        <v>2040000</v>
      </c>
      <c r="E200" s="67">
        <v>4118289</v>
      </c>
      <c r="F200" s="67">
        <v>983950</v>
      </c>
      <c r="G200" s="67">
        <v>5102239</v>
      </c>
      <c r="H200" s="71">
        <v>0.48</v>
      </c>
    </row>
    <row r="201" spans="2:8" x14ac:dyDescent="0.25">
      <c r="B201" s="58">
        <v>44986</v>
      </c>
      <c r="C201" s="67">
        <v>1863118</v>
      </c>
      <c r="D201" s="67">
        <v>2275530</v>
      </c>
      <c r="E201" s="67">
        <v>4138648</v>
      </c>
      <c r="F201" s="67">
        <v>1059005</v>
      </c>
      <c r="G201" s="67">
        <v>5197653</v>
      </c>
      <c r="H201" s="71">
        <v>1.87</v>
      </c>
    </row>
    <row r="202" spans="2:8" x14ac:dyDescent="0.25">
      <c r="B202" s="58">
        <v>45017</v>
      </c>
      <c r="C202" s="67">
        <v>1903795</v>
      </c>
      <c r="D202" s="67">
        <v>2278837</v>
      </c>
      <c r="E202" s="67">
        <v>4182632</v>
      </c>
      <c r="F202" s="67">
        <v>1076341</v>
      </c>
      <c r="G202" s="67">
        <v>5258973</v>
      </c>
      <c r="H202" s="71">
        <v>1.18</v>
      </c>
    </row>
    <row r="203" spans="2:8" x14ac:dyDescent="0.25">
      <c r="B203" s="58">
        <v>45047</v>
      </c>
      <c r="C203" s="67">
        <v>1901808</v>
      </c>
      <c r="D203" s="67">
        <v>2315945</v>
      </c>
      <c r="E203" s="67">
        <v>4217753</v>
      </c>
      <c r="F203" s="67">
        <v>1092168</v>
      </c>
      <c r="G203" s="67">
        <v>5309921</v>
      </c>
      <c r="H203" s="71">
        <v>0.97</v>
      </c>
    </row>
    <row r="204" spans="2:8" x14ac:dyDescent="0.25">
      <c r="B204" s="58">
        <v>45078</v>
      </c>
      <c r="C204" s="67">
        <v>2072813</v>
      </c>
      <c r="D204" s="67">
        <v>2309052</v>
      </c>
      <c r="E204" s="67">
        <v>4389251</v>
      </c>
      <c r="F204" s="67">
        <v>1186189</v>
      </c>
      <c r="G204" s="67">
        <v>5575440</v>
      </c>
      <c r="H204" s="71">
        <v>5</v>
      </c>
    </row>
    <row r="205" spans="2:8" x14ac:dyDescent="0.25">
      <c r="B205" s="58">
        <v>45108</v>
      </c>
      <c r="C205" s="67">
        <v>2106487</v>
      </c>
      <c r="D205" s="67">
        <v>2318937</v>
      </c>
      <c r="E205" s="67">
        <v>4425424</v>
      </c>
      <c r="F205" s="67">
        <v>1248373</v>
      </c>
      <c r="G205" s="67">
        <v>5673797</v>
      </c>
      <c r="H205" s="71">
        <v>1.76</v>
      </c>
    </row>
    <row r="206" spans="2:8" x14ac:dyDescent="0.25">
      <c r="B206" s="58">
        <v>45139</v>
      </c>
      <c r="C206" s="67">
        <v>2086516</v>
      </c>
      <c r="D206" s="67">
        <v>2359553</v>
      </c>
      <c r="E206" s="67">
        <v>4446069</v>
      </c>
      <c r="F206" s="67">
        <v>1328576</v>
      </c>
      <c r="G206" s="67">
        <v>5774645</v>
      </c>
      <c r="H206" s="71">
        <v>1.78</v>
      </c>
    </row>
    <row r="207" spans="2:8" x14ac:dyDescent="0.25">
      <c r="B207" s="58">
        <v>45170</v>
      </c>
      <c r="C207" s="67">
        <v>2000269</v>
      </c>
      <c r="D207" s="67">
        <v>2441742</v>
      </c>
      <c r="E207" s="67">
        <v>4442011</v>
      </c>
      <c r="F207" s="67">
        <v>1399119</v>
      </c>
      <c r="G207" s="67">
        <v>5841131</v>
      </c>
      <c r="H207" s="71">
        <v>1.1499999999999999</v>
      </c>
    </row>
    <row r="208" spans="2:8" x14ac:dyDescent="0.25">
      <c r="B208" s="58">
        <v>45200</v>
      </c>
      <c r="C208" s="67">
        <v>2000657</v>
      </c>
      <c r="D208" s="67">
        <v>2431176</v>
      </c>
      <c r="E208" s="67">
        <v>4431833</v>
      </c>
      <c r="F208" s="67">
        <v>1450890</v>
      </c>
      <c r="G208" s="67">
        <v>5882723</v>
      </c>
      <c r="H208" s="71">
        <v>0.71</v>
      </c>
    </row>
    <row r="209" spans="2:8" x14ac:dyDescent="0.25">
      <c r="B209" s="58">
        <v>45231</v>
      </c>
      <c r="C209" s="67">
        <v>1995418</v>
      </c>
      <c r="D209" s="67">
        <v>2459115</v>
      </c>
      <c r="E209" s="67">
        <v>4454532</v>
      </c>
      <c r="F209" s="67">
        <v>1497797</v>
      </c>
      <c r="G209" s="67">
        <v>5952329</v>
      </c>
      <c r="H209" s="71">
        <v>1.18</v>
      </c>
    </row>
    <row r="210" spans="2:8" x14ac:dyDescent="0.25">
      <c r="B210" s="58">
        <v>45261</v>
      </c>
      <c r="C210" s="67">
        <v>2019651</v>
      </c>
      <c r="D210" s="67">
        <v>2471815</v>
      </c>
      <c r="E210" s="67">
        <v>4491466</v>
      </c>
      <c r="F210" s="67">
        <v>1548195</v>
      </c>
      <c r="G210" s="67">
        <v>6039661</v>
      </c>
      <c r="H210" s="71">
        <v>1.47</v>
      </c>
    </row>
    <row r="211" spans="2:8" x14ac:dyDescent="0.25">
      <c r="B211" s="58">
        <v>45292</v>
      </c>
      <c r="C211" s="67">
        <v>2029949</v>
      </c>
      <c r="D211" s="67">
        <v>2477978</v>
      </c>
      <c r="E211" s="67">
        <v>4507928</v>
      </c>
      <c r="F211" s="67">
        <v>1603158</v>
      </c>
      <c r="G211" s="67">
        <v>6111086</v>
      </c>
      <c r="H211" s="71">
        <v>1.1000000000000001</v>
      </c>
    </row>
    <row r="212" spans="2:8" x14ac:dyDescent="0.25">
      <c r="B212" s="58">
        <v>45323</v>
      </c>
      <c r="C212" s="67">
        <v>2078302</v>
      </c>
      <c r="D212" s="67">
        <v>2421621</v>
      </c>
      <c r="E212" s="67">
        <v>4499923</v>
      </c>
      <c r="F212" s="67">
        <v>1504058</v>
      </c>
      <c r="G212" s="67">
        <v>6003981</v>
      </c>
      <c r="H212" s="71">
        <v>-1.75</v>
      </c>
    </row>
    <row r="213" spans="2:8" x14ac:dyDescent="0.25">
      <c r="B213" s="58">
        <v>45352</v>
      </c>
      <c r="C213" s="67">
        <v>1972685</v>
      </c>
      <c r="D213" s="67">
        <v>2508854</v>
      </c>
      <c r="E213" s="67">
        <v>4481539</v>
      </c>
      <c r="F213" s="67">
        <v>1315423</v>
      </c>
      <c r="G213" s="67">
        <v>5796962</v>
      </c>
      <c r="H213" s="71">
        <v>-3.45</v>
      </c>
    </row>
    <row r="214" spans="2:8" x14ac:dyDescent="0.25">
      <c r="B214" s="58">
        <v>45383</v>
      </c>
      <c r="C214" s="67">
        <v>1940648</v>
      </c>
      <c r="D214" s="67">
        <v>2523823</v>
      </c>
      <c r="E214" s="67">
        <v>4464471</v>
      </c>
      <c r="F214" s="67">
        <v>1371801</v>
      </c>
      <c r="G214" s="67">
        <v>5836272</v>
      </c>
      <c r="H214" s="71">
        <v>0.68</v>
      </c>
    </row>
    <row r="215" spans="2:8" x14ac:dyDescent="0.25">
      <c r="B215" s="58">
        <v>45413</v>
      </c>
      <c r="C215" s="67">
        <v>1948029</v>
      </c>
      <c r="D215" s="67">
        <v>2577685</v>
      </c>
      <c r="E215" s="67">
        <v>4525714</v>
      </c>
      <c r="F215" s="67">
        <v>1324366</v>
      </c>
      <c r="G215" s="67">
        <v>5850080</v>
      </c>
      <c r="H215" s="71">
        <v>0.24</v>
      </c>
    </row>
    <row r="216" spans="2:8" x14ac:dyDescent="0.25">
      <c r="B216" s="58">
        <v>45444</v>
      </c>
      <c r="C216" s="67">
        <v>2038280</v>
      </c>
      <c r="D216" s="67">
        <v>2585603</v>
      </c>
      <c r="E216" s="67">
        <v>4623883</v>
      </c>
      <c r="F216" s="67">
        <v>1341737</v>
      </c>
      <c r="G216" s="67">
        <v>5965620</v>
      </c>
      <c r="H216" s="71">
        <v>1.98</v>
      </c>
    </row>
    <row r="217" spans="2:8" x14ac:dyDescent="0.25">
      <c r="B217" s="58">
        <v>45474</v>
      </c>
      <c r="C217" s="67">
        <v>1987425</v>
      </c>
      <c r="D217" s="67">
        <v>2637742</v>
      </c>
      <c r="E217" s="67">
        <v>4625167</v>
      </c>
      <c r="F217" s="67">
        <v>1392673</v>
      </c>
      <c r="G217" s="67">
        <v>6017840</v>
      </c>
      <c r="H217" s="71">
        <v>0.88</v>
      </c>
    </row>
    <row r="218" spans="2:8" x14ac:dyDescent="0.25">
      <c r="B218" s="58">
        <v>45505</v>
      </c>
      <c r="C218" s="67">
        <v>1900610</v>
      </c>
      <c r="D218" s="67">
        <v>2788607</v>
      </c>
      <c r="E218" s="67">
        <v>4689217</v>
      </c>
      <c r="F218" s="67">
        <v>1321052</v>
      </c>
      <c r="G218" s="67">
        <v>6010268</v>
      </c>
      <c r="H218" s="71">
        <v>-0.13</v>
      </c>
    </row>
    <row r="219" spans="2:8" x14ac:dyDescent="0.25">
      <c r="B219" s="58">
        <v>45536</v>
      </c>
      <c r="C219" s="67">
        <v>1953455</v>
      </c>
      <c r="D219" s="67">
        <v>2698474</v>
      </c>
      <c r="E219" s="67">
        <v>4651929</v>
      </c>
      <c r="F219" s="67">
        <v>1340222</v>
      </c>
      <c r="G219" s="67">
        <v>5992151</v>
      </c>
      <c r="H219" s="71">
        <v>-0.3</v>
      </c>
    </row>
    <row r="220" spans="2:8" x14ac:dyDescent="0.25">
      <c r="B220" s="58">
        <v>45566</v>
      </c>
      <c r="C220" s="119">
        <v>1983193</v>
      </c>
      <c r="D220" s="119">
        <v>2698078</v>
      </c>
      <c r="E220" s="119">
        <v>4681271</v>
      </c>
      <c r="F220" s="119">
        <v>1306194</v>
      </c>
      <c r="G220" s="119">
        <v>5987465</v>
      </c>
      <c r="H220" s="71">
        <v>-0.08</v>
      </c>
    </row>
    <row r="221" spans="2:8" x14ac:dyDescent="0.25">
      <c r="B221" s="58">
        <v>45597</v>
      </c>
      <c r="C221" s="119">
        <v>2013442</v>
      </c>
      <c r="D221" s="119">
        <v>2756508</v>
      </c>
      <c r="E221" s="119">
        <v>4769949</v>
      </c>
      <c r="F221" s="119">
        <v>1312433</v>
      </c>
      <c r="G221" s="119">
        <v>6082383</v>
      </c>
      <c r="H221" s="71">
        <v>1.59</v>
      </c>
    </row>
    <row r="222" spans="2:8" x14ac:dyDescent="0.25">
      <c r="B222" s="58">
        <v>45627</v>
      </c>
      <c r="C222" s="119">
        <v>2042353</v>
      </c>
      <c r="D222" s="119">
        <v>2746578</v>
      </c>
      <c r="E222" s="119">
        <v>4788931</v>
      </c>
      <c r="F222" s="119">
        <v>1259601</v>
      </c>
      <c r="G222" s="119">
        <v>6048533</v>
      </c>
      <c r="H222" s="71">
        <v>-0.56000000000000005</v>
      </c>
    </row>
    <row r="223" spans="2:8" x14ac:dyDescent="0.25">
      <c r="B223" s="58">
        <v>45658</v>
      </c>
      <c r="C223" s="119">
        <v>2098371</v>
      </c>
      <c r="D223" s="119">
        <v>2748907</v>
      </c>
      <c r="E223" s="119">
        <v>4847278</v>
      </c>
      <c r="F223" s="119">
        <v>1249845</v>
      </c>
      <c r="G223" s="119">
        <v>6097123</v>
      </c>
      <c r="H223" s="71">
        <v>-0.14000000000000001</v>
      </c>
    </row>
    <row r="224" spans="2:8" x14ac:dyDescent="0.25">
      <c r="B224" s="58">
        <v>45689</v>
      </c>
      <c r="C224" s="119">
        <v>2110790</v>
      </c>
      <c r="D224" s="119">
        <v>2798496</v>
      </c>
      <c r="E224" s="119">
        <v>4909285</v>
      </c>
      <c r="F224" s="119">
        <v>1243337</v>
      </c>
      <c r="G224" s="119">
        <v>6152622</v>
      </c>
      <c r="H224" s="71">
        <v>0.91</v>
      </c>
    </row>
    <row r="225" spans="2:8" x14ac:dyDescent="0.25">
      <c r="B225" s="58">
        <v>45717</v>
      </c>
      <c r="C225" s="119">
        <v>2102169</v>
      </c>
      <c r="D225" s="119">
        <v>2850492</v>
      </c>
      <c r="E225" s="119">
        <v>4952661</v>
      </c>
      <c r="F225" s="119">
        <v>1241174</v>
      </c>
      <c r="G225" s="119">
        <v>6193835</v>
      </c>
      <c r="H225" s="71">
        <v>0.67</v>
      </c>
    </row>
    <row r="226" spans="2:8" x14ac:dyDescent="0.25">
      <c r="B226" s="58">
        <v>45748</v>
      </c>
      <c r="C226" s="119">
        <v>2172201</v>
      </c>
      <c r="D226" s="119">
        <v>2819859</v>
      </c>
      <c r="E226" s="119">
        <v>4992061</v>
      </c>
      <c r="F226" s="119">
        <v>1272702</v>
      </c>
      <c r="G226" s="119">
        <v>6264763</v>
      </c>
      <c r="H226" s="71">
        <v>1.1499999999999999</v>
      </c>
    </row>
    <row r="227" spans="2:8" x14ac:dyDescent="0.25">
      <c r="B227" s="58">
        <v>45778</v>
      </c>
      <c r="C227" s="119">
        <v>2200910</v>
      </c>
      <c r="D227" s="119">
        <v>2884147</v>
      </c>
      <c r="E227" s="119">
        <v>5085058</v>
      </c>
      <c r="F227" s="119">
        <v>1263275</v>
      </c>
      <c r="G227" s="119">
        <v>6348333</v>
      </c>
      <c r="H227" s="71">
        <v>1.37</v>
      </c>
    </row>
    <row r="228" spans="2:8" x14ac:dyDescent="0.25">
      <c r="B228" s="58">
        <v>45809</v>
      </c>
      <c r="C228" s="119">
        <v>2318936</v>
      </c>
      <c r="D228" s="119">
        <v>2861217</v>
      </c>
      <c r="E228" s="119">
        <v>5180153</v>
      </c>
      <c r="F228" s="119">
        <v>1269954</v>
      </c>
      <c r="G228" s="119">
        <v>6450107</v>
      </c>
      <c r="H228" s="71">
        <v>1.6</v>
      </c>
    </row>
    <row r="229" spans="2:8" x14ac:dyDescent="0.25">
      <c r="B229" s="58">
        <v>45839</v>
      </c>
      <c r="C229" s="119">
        <v>2282151</v>
      </c>
      <c r="D229" s="119">
        <v>2890802</v>
      </c>
      <c r="E229" s="119">
        <v>5172953</v>
      </c>
      <c r="F229" s="119">
        <v>1249757</v>
      </c>
      <c r="G229" s="119">
        <v>6422710</v>
      </c>
      <c r="H229" s="71">
        <v>-0.42</v>
      </c>
    </row>
    <row r="230" spans="2:8" x14ac:dyDescent="0.25">
      <c r="B230" s="58">
        <v>45870</v>
      </c>
      <c r="C230" s="119">
        <v>2302081</v>
      </c>
      <c r="D230" s="119">
        <v>2855584</v>
      </c>
      <c r="E230" s="119">
        <v>5157664</v>
      </c>
      <c r="F230" s="119">
        <v>1296291</v>
      </c>
      <c r="G230" s="119">
        <v>6453955</v>
      </c>
      <c r="H230" s="71">
        <v>0.49</v>
      </c>
    </row>
    <row r="231" spans="2:8" x14ac:dyDescent="0.25">
      <c r="B231" s="58">
        <v>45901</v>
      </c>
      <c r="C231" s="119">
        <v>2316062</v>
      </c>
      <c r="D231" s="119">
        <v>2866393</v>
      </c>
      <c r="E231" s="119">
        <v>5182455</v>
      </c>
      <c r="F231" s="119">
        <v>1276214</v>
      </c>
      <c r="G231" s="119">
        <v>6458670</v>
      </c>
      <c r="H231" s="71">
        <v>7.0000000000000007E-2</v>
      </c>
    </row>
    <row r="232" spans="2:8" x14ac:dyDescent="0.25">
      <c r="B232" s="58">
        <v>45931</v>
      </c>
      <c r="C232" s="119">
        <v>2308563</v>
      </c>
      <c r="D232" s="119">
        <v>2901138</v>
      </c>
      <c r="E232" s="119">
        <v>5209701</v>
      </c>
      <c r="F232" s="119">
        <v>1286040</v>
      </c>
      <c r="G232" s="119">
        <v>6495742</v>
      </c>
      <c r="H232" s="71">
        <v>0.56999999999999995</v>
      </c>
    </row>
    <row r="233" spans="2:8" x14ac:dyDescent="0.25">
      <c r="B233" s="58">
        <v>45962</v>
      </c>
      <c r="C233" s="119">
        <v>2356908</v>
      </c>
      <c r="D233" s="119">
        <v>2951139</v>
      </c>
      <c r="E233" s="119">
        <v>5308047</v>
      </c>
      <c r="F233" s="119">
        <v>1312013</v>
      </c>
      <c r="G233" s="119">
        <v>6620060</v>
      </c>
      <c r="H233" s="71">
        <v>1.91</v>
      </c>
    </row>
    <row r="234" spans="2:8" x14ac:dyDescent="0.25">
      <c r="B234" s="58">
        <v>45992</v>
      </c>
      <c r="C234" s="119"/>
      <c r="D234" s="119"/>
      <c r="E234" s="119"/>
      <c r="F234" s="119"/>
      <c r="G234" s="119"/>
      <c r="H234" s="71"/>
    </row>
    <row r="235" spans="2:8" x14ac:dyDescent="0.25">
      <c r="B235" s="58">
        <v>46023</v>
      </c>
      <c r="C235" s="119"/>
      <c r="D235" s="119"/>
      <c r="E235" s="119"/>
      <c r="F235" s="119"/>
      <c r="G235" s="119"/>
      <c r="H235" s="71"/>
    </row>
    <row r="236" spans="2:8" x14ac:dyDescent="0.25">
      <c r="C236" s="119"/>
      <c r="D236" s="119"/>
      <c r="E236" s="119"/>
      <c r="F236" s="119"/>
      <c r="G236" s="119"/>
      <c r="H236" s="71"/>
    </row>
  </sheetData>
  <mergeCells count="1">
    <mergeCell ref="C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C474-4FE1-43C0-AE3F-8579A34095A4}">
  <dimension ref="B3:K242"/>
  <sheetViews>
    <sheetView workbookViewId="0">
      <pane ySplit="4" topLeftCell="A227" activePane="bottomLeft" state="frozen"/>
      <selection pane="bottomLeft" activeCell="E239" sqref="E239"/>
    </sheetView>
  </sheetViews>
  <sheetFormatPr defaultRowHeight="11.5" x14ac:dyDescent="0.25"/>
  <cols>
    <col min="1" max="2" width="8.7265625" style="1"/>
    <col min="3" max="3" width="9.7265625" style="1" bestFit="1" customWidth="1"/>
    <col min="4" max="4" width="9.36328125" style="1" bestFit="1" customWidth="1"/>
    <col min="5" max="5" width="8.08984375" style="1" bestFit="1" customWidth="1"/>
    <col min="6" max="6" width="13.453125" style="1" bestFit="1" customWidth="1"/>
    <col min="7" max="7" width="7.90625" style="1" bestFit="1" customWidth="1"/>
    <col min="8" max="8" width="13.81640625" style="1" bestFit="1" customWidth="1"/>
    <col min="9" max="9" width="24.1796875" style="1" bestFit="1" customWidth="1"/>
    <col min="10" max="16384" width="8.7265625" style="1"/>
  </cols>
  <sheetData>
    <row r="3" spans="2:9" x14ac:dyDescent="0.25">
      <c r="B3" s="76"/>
      <c r="C3" s="194" t="s">
        <v>36</v>
      </c>
      <c r="D3" s="194"/>
      <c r="E3" s="194"/>
      <c r="F3" s="31"/>
      <c r="G3" s="31"/>
      <c r="H3" s="31"/>
      <c r="I3" s="32"/>
    </row>
    <row r="4" spans="2:9" ht="34.5" x14ac:dyDescent="0.25">
      <c r="B4" s="154" t="s">
        <v>23</v>
      </c>
      <c r="C4" s="78" t="s">
        <v>40</v>
      </c>
      <c r="D4" s="77" t="s">
        <v>41</v>
      </c>
      <c r="E4" s="47" t="s">
        <v>42</v>
      </c>
      <c r="F4" s="79" t="s">
        <v>37</v>
      </c>
      <c r="G4" s="79" t="s">
        <v>85</v>
      </c>
      <c r="H4" s="78" t="s">
        <v>38</v>
      </c>
      <c r="I4" s="80" t="s">
        <v>39</v>
      </c>
    </row>
    <row r="5" spans="2:9" x14ac:dyDescent="0.25">
      <c r="B5" s="58">
        <v>38961</v>
      </c>
      <c r="C5" s="67">
        <v>174039</v>
      </c>
      <c r="D5" s="67">
        <v>1393</v>
      </c>
      <c r="E5" s="67">
        <v>175432</v>
      </c>
      <c r="F5" s="67">
        <v>51667</v>
      </c>
      <c r="G5" s="67"/>
      <c r="H5" s="67">
        <v>227099</v>
      </c>
      <c r="I5" s="72">
        <v>203020</v>
      </c>
    </row>
    <row r="6" spans="2:9" x14ac:dyDescent="0.25">
      <c r="B6" s="58">
        <v>38991</v>
      </c>
      <c r="C6" s="67">
        <v>172266</v>
      </c>
      <c r="D6" s="67">
        <v>1422</v>
      </c>
      <c r="E6" s="67">
        <v>173688</v>
      </c>
      <c r="F6" s="67">
        <v>61438</v>
      </c>
      <c r="G6" s="67"/>
      <c r="H6" s="67">
        <v>235126</v>
      </c>
      <c r="I6" s="72">
        <v>209328</v>
      </c>
    </row>
    <row r="7" spans="2:9" x14ac:dyDescent="0.25">
      <c r="B7" s="58">
        <v>39022</v>
      </c>
      <c r="C7" s="67">
        <v>169904</v>
      </c>
      <c r="D7" s="67">
        <v>1422</v>
      </c>
      <c r="E7" s="67">
        <v>171326</v>
      </c>
      <c r="F7" s="67">
        <v>56626</v>
      </c>
      <c r="G7" s="67"/>
      <c r="H7" s="67">
        <v>227952</v>
      </c>
      <c r="I7" s="72">
        <v>202370</v>
      </c>
    </row>
    <row r="8" spans="2:9" x14ac:dyDescent="0.25">
      <c r="B8" s="58">
        <v>39052</v>
      </c>
      <c r="C8" s="67">
        <v>167046</v>
      </c>
      <c r="D8" s="67">
        <v>1422</v>
      </c>
      <c r="E8" s="67">
        <v>168468</v>
      </c>
      <c r="F8" s="67">
        <v>63569</v>
      </c>
      <c r="G8" s="67"/>
      <c r="H8" s="67">
        <v>232037</v>
      </c>
      <c r="I8" s="72">
        <v>208964</v>
      </c>
    </row>
    <row r="9" spans="2:9" x14ac:dyDescent="0.25">
      <c r="B9" s="58">
        <v>39083</v>
      </c>
      <c r="C9" s="67">
        <v>173198</v>
      </c>
      <c r="D9" s="67">
        <v>1359</v>
      </c>
      <c r="E9" s="67">
        <v>174557</v>
      </c>
      <c r="F9" s="67">
        <v>57944</v>
      </c>
      <c r="G9" s="67"/>
      <c r="H9" s="67">
        <v>232501</v>
      </c>
      <c r="I9" s="72">
        <v>209991</v>
      </c>
    </row>
    <row r="10" spans="2:9" x14ac:dyDescent="0.25">
      <c r="B10" s="58">
        <v>39114</v>
      </c>
      <c r="C10" s="67">
        <v>173838</v>
      </c>
      <c r="D10" s="67">
        <v>1355</v>
      </c>
      <c r="E10" s="67">
        <v>175193</v>
      </c>
      <c r="F10" s="67">
        <v>61378</v>
      </c>
      <c r="G10" s="67"/>
      <c r="H10" s="67">
        <v>236571</v>
      </c>
      <c r="I10" s="72">
        <v>216184</v>
      </c>
    </row>
    <row r="11" spans="2:9" x14ac:dyDescent="0.25">
      <c r="B11" s="58">
        <v>39142</v>
      </c>
      <c r="C11" s="67">
        <v>177647</v>
      </c>
      <c r="D11" s="67">
        <v>1344</v>
      </c>
      <c r="E11" s="67">
        <v>178991</v>
      </c>
      <c r="F11" s="67">
        <v>67439</v>
      </c>
      <c r="G11" s="67"/>
      <c r="H11" s="67">
        <v>246430</v>
      </c>
      <c r="I11" s="72">
        <v>221151</v>
      </c>
    </row>
    <row r="12" spans="2:9" x14ac:dyDescent="0.25">
      <c r="B12" s="58">
        <v>39173</v>
      </c>
      <c r="C12" s="67">
        <v>182973</v>
      </c>
      <c r="D12" s="67">
        <v>1346</v>
      </c>
      <c r="E12" s="67">
        <v>184319</v>
      </c>
      <c r="F12" s="67">
        <v>70558</v>
      </c>
      <c r="G12" s="67"/>
      <c r="H12" s="67">
        <v>254877</v>
      </c>
      <c r="I12" s="72">
        <v>227432</v>
      </c>
    </row>
    <row r="13" spans="2:9" x14ac:dyDescent="0.25">
      <c r="B13" s="58">
        <v>39203</v>
      </c>
      <c r="C13" s="67">
        <v>179143</v>
      </c>
      <c r="D13" s="67">
        <v>1346</v>
      </c>
      <c r="E13" s="67">
        <v>180489</v>
      </c>
      <c r="F13" s="67">
        <v>69419</v>
      </c>
      <c r="G13" s="67"/>
      <c r="H13" s="67">
        <v>249908</v>
      </c>
      <c r="I13" s="72">
        <v>220686</v>
      </c>
    </row>
    <row r="14" spans="2:9" x14ac:dyDescent="0.25">
      <c r="B14" s="58">
        <v>39234</v>
      </c>
      <c r="C14" s="67">
        <v>180883</v>
      </c>
      <c r="D14" s="67">
        <v>1346</v>
      </c>
      <c r="E14" s="67">
        <v>182229</v>
      </c>
      <c r="F14" s="67">
        <v>69514</v>
      </c>
      <c r="G14" s="67"/>
      <c r="H14" s="67">
        <v>251743</v>
      </c>
      <c r="I14" s="72">
        <v>223495</v>
      </c>
    </row>
    <row r="15" spans="2:9" x14ac:dyDescent="0.25">
      <c r="B15" s="58">
        <v>39264</v>
      </c>
      <c r="C15" s="67">
        <v>189058</v>
      </c>
      <c r="D15" s="67">
        <v>1334</v>
      </c>
      <c r="E15" s="67">
        <v>190392</v>
      </c>
      <c r="F15" s="67">
        <v>71878</v>
      </c>
      <c r="G15" s="67"/>
      <c r="H15" s="67">
        <v>262270</v>
      </c>
      <c r="I15" s="72">
        <v>238050</v>
      </c>
    </row>
    <row r="16" spans="2:9" x14ac:dyDescent="0.25">
      <c r="B16" s="58">
        <v>39295</v>
      </c>
      <c r="C16" s="67">
        <v>188978</v>
      </c>
      <c r="D16" s="67">
        <v>1334</v>
      </c>
      <c r="E16" s="67">
        <v>190312</v>
      </c>
      <c r="F16" s="67">
        <v>73177</v>
      </c>
      <c r="G16" s="67"/>
      <c r="H16" s="67">
        <v>263489</v>
      </c>
      <c r="I16" s="72">
        <v>231745</v>
      </c>
    </row>
    <row r="17" spans="2:9" x14ac:dyDescent="0.25">
      <c r="B17" s="58">
        <v>39326</v>
      </c>
      <c r="C17" s="67">
        <v>188562</v>
      </c>
      <c r="D17" s="67">
        <v>1344</v>
      </c>
      <c r="E17" s="67">
        <v>189906</v>
      </c>
      <c r="F17" s="67">
        <v>70297</v>
      </c>
      <c r="G17" s="67"/>
      <c r="H17" s="67">
        <v>260203</v>
      </c>
      <c r="I17" s="72">
        <v>225993</v>
      </c>
    </row>
    <row r="18" spans="2:9" x14ac:dyDescent="0.25">
      <c r="B18" s="58">
        <v>39356</v>
      </c>
      <c r="C18" s="67">
        <v>191265</v>
      </c>
      <c r="D18" s="67">
        <v>1344</v>
      </c>
      <c r="E18" s="67">
        <v>192609</v>
      </c>
      <c r="F18" s="67">
        <v>76392</v>
      </c>
      <c r="G18" s="67"/>
      <c r="H18" s="67">
        <v>269001</v>
      </c>
      <c r="I18" s="72">
        <v>227139</v>
      </c>
    </row>
    <row r="19" spans="2:9" x14ac:dyDescent="0.25">
      <c r="B19" s="58">
        <v>39387</v>
      </c>
      <c r="C19" s="67">
        <v>191310</v>
      </c>
      <c r="D19" s="67">
        <v>1344</v>
      </c>
      <c r="E19" s="67">
        <v>192654</v>
      </c>
      <c r="F19" s="67">
        <v>70747</v>
      </c>
      <c r="G19" s="67"/>
      <c r="H19" s="67">
        <v>263401</v>
      </c>
      <c r="I19" s="72">
        <v>219822</v>
      </c>
    </row>
    <row r="20" spans="2:9" x14ac:dyDescent="0.25">
      <c r="B20" s="58">
        <v>39417</v>
      </c>
      <c r="C20" s="67">
        <v>228677</v>
      </c>
      <c r="D20" s="67">
        <v>1265</v>
      </c>
      <c r="E20" s="67">
        <v>229942</v>
      </c>
      <c r="F20" s="67">
        <v>75343</v>
      </c>
      <c r="G20" s="67"/>
      <c r="H20" s="67">
        <v>305284</v>
      </c>
      <c r="I20" s="72">
        <v>255775</v>
      </c>
    </row>
    <row r="21" spans="2:9" x14ac:dyDescent="0.25">
      <c r="B21" s="58">
        <v>39448</v>
      </c>
      <c r="C21" s="67">
        <v>249055</v>
      </c>
      <c r="D21" s="67">
        <v>1450</v>
      </c>
      <c r="E21" s="67">
        <v>250505</v>
      </c>
      <c r="F21" s="67">
        <v>74449</v>
      </c>
      <c r="G21" s="67"/>
      <c r="H21" s="67">
        <v>324954</v>
      </c>
      <c r="I21" s="72">
        <v>278808</v>
      </c>
    </row>
    <row r="22" spans="2:9" x14ac:dyDescent="0.25">
      <c r="B22" s="58">
        <v>39479</v>
      </c>
      <c r="C22" s="67">
        <v>239306</v>
      </c>
      <c r="D22" s="67">
        <v>1450</v>
      </c>
      <c r="E22" s="67">
        <v>240756</v>
      </c>
      <c r="F22" s="67">
        <v>74333</v>
      </c>
      <c r="G22" s="67"/>
      <c r="H22" s="67">
        <v>315089</v>
      </c>
      <c r="I22" s="72">
        <v>267261</v>
      </c>
    </row>
    <row r="23" spans="2:9" x14ac:dyDescent="0.25">
      <c r="B23" s="58">
        <v>39508</v>
      </c>
      <c r="C23" s="67">
        <v>216034</v>
      </c>
      <c r="D23" s="67">
        <v>1450</v>
      </c>
      <c r="E23" s="67">
        <v>217484</v>
      </c>
      <c r="F23" s="67">
        <v>83026</v>
      </c>
      <c r="G23" s="67"/>
      <c r="H23" s="67">
        <v>300510</v>
      </c>
      <c r="I23" s="72">
        <v>251014</v>
      </c>
    </row>
    <row r="24" spans="2:9" x14ac:dyDescent="0.25">
      <c r="B24" s="58">
        <v>39539</v>
      </c>
      <c r="C24" s="67">
        <v>211637</v>
      </c>
      <c r="D24" s="67">
        <v>1372</v>
      </c>
      <c r="E24" s="67">
        <v>213009</v>
      </c>
      <c r="F24" s="67">
        <v>98622</v>
      </c>
      <c r="G24" s="67"/>
      <c r="H24" s="67">
        <v>311631</v>
      </c>
      <c r="I24" s="72">
        <v>263236</v>
      </c>
    </row>
    <row r="25" spans="2:9" x14ac:dyDescent="0.25">
      <c r="B25" s="58">
        <v>39569</v>
      </c>
      <c r="C25" s="67">
        <v>214110</v>
      </c>
      <c r="D25" s="67">
        <v>1372</v>
      </c>
      <c r="E25" s="67">
        <v>215482</v>
      </c>
      <c r="F25" s="67">
        <v>112211</v>
      </c>
      <c r="G25" s="67"/>
      <c r="H25" s="67">
        <v>327693</v>
      </c>
      <c r="I25" s="72">
        <v>280192</v>
      </c>
    </row>
    <row r="26" spans="2:9" x14ac:dyDescent="0.25">
      <c r="B26" s="58">
        <v>39600</v>
      </c>
      <c r="C26" s="67">
        <v>223401</v>
      </c>
      <c r="D26" s="67">
        <v>1372</v>
      </c>
      <c r="E26" s="67">
        <v>224773</v>
      </c>
      <c r="F26" s="67">
        <v>151481</v>
      </c>
      <c r="G26" s="67"/>
      <c r="H26" s="67">
        <v>376254</v>
      </c>
      <c r="I26" s="72">
        <v>292664</v>
      </c>
    </row>
    <row r="27" spans="2:9" x14ac:dyDescent="0.25">
      <c r="B27" s="58">
        <v>39630</v>
      </c>
      <c r="C27" s="67">
        <v>233173</v>
      </c>
      <c r="D27" s="67">
        <v>1372</v>
      </c>
      <c r="E27" s="67">
        <v>234545</v>
      </c>
      <c r="F27" s="67">
        <v>162483</v>
      </c>
      <c r="G27" s="67"/>
      <c r="H27" s="67">
        <v>397028</v>
      </c>
      <c r="I27" s="72">
        <v>291398</v>
      </c>
    </row>
    <row r="28" spans="2:9" x14ac:dyDescent="0.25">
      <c r="B28" s="58">
        <v>39661</v>
      </c>
      <c r="C28" s="67">
        <v>224770</v>
      </c>
      <c r="D28" s="67">
        <v>1395</v>
      </c>
      <c r="E28" s="67">
        <v>226165</v>
      </c>
      <c r="F28" s="67">
        <v>139078</v>
      </c>
      <c r="G28" s="67"/>
      <c r="H28" s="67">
        <v>365243</v>
      </c>
      <c r="I28" s="72">
        <v>271084</v>
      </c>
    </row>
    <row r="29" spans="2:9" x14ac:dyDescent="0.25">
      <c r="B29" s="58">
        <v>39692</v>
      </c>
      <c r="C29" s="67">
        <v>231449</v>
      </c>
      <c r="D29" s="67">
        <v>1471</v>
      </c>
      <c r="E29" s="67">
        <v>232920</v>
      </c>
      <c r="F29" s="67">
        <v>136265</v>
      </c>
      <c r="G29" s="67"/>
      <c r="H29" s="67">
        <v>369185</v>
      </c>
      <c r="I29" s="72">
        <v>264904</v>
      </c>
    </row>
    <row r="30" spans="2:9" x14ac:dyDescent="0.25">
      <c r="B30" s="58">
        <v>39722</v>
      </c>
      <c r="C30" s="67">
        <v>234167</v>
      </c>
      <c r="D30" s="67">
        <v>1546</v>
      </c>
      <c r="E30" s="67">
        <v>235713</v>
      </c>
      <c r="F30" s="67">
        <v>143976</v>
      </c>
      <c r="G30" s="67"/>
      <c r="H30" s="67">
        <v>379689</v>
      </c>
      <c r="I30" s="72">
        <v>273651</v>
      </c>
    </row>
    <row r="31" spans="2:9" x14ac:dyDescent="0.25">
      <c r="B31" s="58">
        <v>39753</v>
      </c>
      <c r="C31" s="67">
        <v>224119</v>
      </c>
      <c r="D31" s="67">
        <v>1502</v>
      </c>
      <c r="E31" s="67">
        <v>225621</v>
      </c>
      <c r="F31" s="67">
        <v>128823</v>
      </c>
      <c r="G31" s="67"/>
      <c r="H31" s="67">
        <v>354444</v>
      </c>
      <c r="I31" s="72">
        <v>260076</v>
      </c>
    </row>
    <row r="32" spans="2:9" x14ac:dyDescent="0.25">
      <c r="B32" s="58">
        <v>39783</v>
      </c>
      <c r="C32" s="67">
        <v>223549</v>
      </c>
      <c r="D32" s="67">
        <v>1533</v>
      </c>
      <c r="E32" s="67">
        <v>225082</v>
      </c>
      <c r="F32" s="67">
        <v>137185</v>
      </c>
      <c r="G32" s="67"/>
      <c r="H32" s="67">
        <v>362267</v>
      </c>
      <c r="I32" s="72">
        <v>260593</v>
      </c>
    </row>
    <row r="33" spans="2:9" x14ac:dyDescent="0.25">
      <c r="B33" s="58">
        <v>39814</v>
      </c>
      <c r="C33" s="67">
        <v>220115</v>
      </c>
      <c r="D33" s="67">
        <v>1553</v>
      </c>
      <c r="E33" s="67">
        <v>221668</v>
      </c>
      <c r="F33" s="67">
        <v>125621</v>
      </c>
      <c r="G33" s="67"/>
      <c r="H33" s="67">
        <v>347289</v>
      </c>
      <c r="I33" s="72">
        <v>261973</v>
      </c>
    </row>
    <row r="34" spans="2:9" x14ac:dyDescent="0.25">
      <c r="B34" s="58">
        <v>39845</v>
      </c>
      <c r="C34" s="67">
        <v>218391</v>
      </c>
      <c r="D34" s="67">
        <v>1515</v>
      </c>
      <c r="E34" s="67">
        <v>219906</v>
      </c>
      <c r="F34" s="67">
        <v>128258</v>
      </c>
      <c r="G34" s="67"/>
      <c r="H34" s="67">
        <v>348164</v>
      </c>
      <c r="I34" s="72">
        <v>259398</v>
      </c>
    </row>
    <row r="35" spans="2:9" x14ac:dyDescent="0.25">
      <c r="B35" s="58">
        <v>39873</v>
      </c>
      <c r="C35" s="67">
        <v>217444</v>
      </c>
      <c r="D35" s="67">
        <v>1548</v>
      </c>
      <c r="E35" s="67">
        <v>218992</v>
      </c>
      <c r="F35" s="67">
        <v>129215</v>
      </c>
      <c r="G35" s="67"/>
      <c r="H35" s="67">
        <v>348207</v>
      </c>
      <c r="I35" s="72">
        <v>267802</v>
      </c>
    </row>
    <row r="36" spans="2:9" x14ac:dyDescent="0.25">
      <c r="B36" s="58">
        <v>39904</v>
      </c>
      <c r="C36" s="67">
        <v>214777</v>
      </c>
      <c r="D36" s="67">
        <v>1548</v>
      </c>
      <c r="E36" s="67">
        <v>216325</v>
      </c>
      <c r="F36" s="67">
        <v>136300</v>
      </c>
      <c r="G36" s="67"/>
      <c r="H36" s="67">
        <v>352625</v>
      </c>
      <c r="I36" s="72">
        <v>279198</v>
      </c>
    </row>
    <row r="37" spans="2:9" x14ac:dyDescent="0.25">
      <c r="B37" s="58">
        <v>39934</v>
      </c>
      <c r="C37" s="67">
        <v>228578</v>
      </c>
      <c r="D37" s="67">
        <v>1548</v>
      </c>
      <c r="E37" s="67">
        <v>230126</v>
      </c>
      <c r="F37" s="67">
        <v>112920</v>
      </c>
      <c r="G37" s="67"/>
      <c r="H37" s="67">
        <v>343046</v>
      </c>
      <c r="I37" s="72">
        <v>261865</v>
      </c>
    </row>
    <row r="38" spans="2:9" x14ac:dyDescent="0.25">
      <c r="B38" s="58">
        <v>39965</v>
      </c>
      <c r="C38" s="67">
        <v>246970</v>
      </c>
      <c r="D38" s="67">
        <v>1548</v>
      </c>
      <c r="E38" s="67">
        <v>248518</v>
      </c>
      <c r="F38" s="67">
        <v>123618</v>
      </c>
      <c r="G38" s="67"/>
      <c r="H38" s="67">
        <v>372136</v>
      </c>
      <c r="I38" s="72">
        <v>279709</v>
      </c>
    </row>
    <row r="39" spans="2:9" x14ac:dyDescent="0.25">
      <c r="B39" s="58">
        <v>39995</v>
      </c>
      <c r="C39" s="67">
        <v>245554</v>
      </c>
      <c r="D39" s="67">
        <v>1548</v>
      </c>
      <c r="E39" s="67">
        <v>247102</v>
      </c>
      <c r="F39" s="67">
        <v>123813</v>
      </c>
      <c r="G39" s="67"/>
      <c r="H39" s="67">
        <v>370915</v>
      </c>
      <c r="I39" s="72">
        <v>287432</v>
      </c>
    </row>
    <row r="40" spans="2:9" x14ac:dyDescent="0.25">
      <c r="B40" s="58">
        <v>40026</v>
      </c>
      <c r="C40" s="67">
        <v>248263</v>
      </c>
      <c r="D40" s="67">
        <v>1548</v>
      </c>
      <c r="E40" s="67">
        <v>249811</v>
      </c>
      <c r="F40" s="67">
        <v>117049</v>
      </c>
      <c r="G40" s="67"/>
      <c r="H40" s="67">
        <v>366860</v>
      </c>
      <c r="I40" s="72">
        <v>272644</v>
      </c>
    </row>
    <row r="41" spans="2:9" x14ac:dyDescent="0.25">
      <c r="B41" s="58">
        <v>40057</v>
      </c>
      <c r="C41" s="67">
        <v>276460</v>
      </c>
      <c r="D41" s="67">
        <v>1548</v>
      </c>
      <c r="E41" s="67">
        <v>278008</v>
      </c>
      <c r="F41" s="67">
        <v>104562</v>
      </c>
      <c r="G41" s="67"/>
      <c r="H41" s="67">
        <v>382570</v>
      </c>
      <c r="I41" s="72">
        <v>256841</v>
      </c>
    </row>
    <row r="42" spans="2:9" x14ac:dyDescent="0.25">
      <c r="B42" s="58">
        <v>40087</v>
      </c>
      <c r="C42" s="67">
        <v>285001</v>
      </c>
      <c r="D42" s="67">
        <v>1548</v>
      </c>
      <c r="E42" s="67">
        <v>286549</v>
      </c>
      <c r="F42" s="67">
        <v>100643</v>
      </c>
      <c r="G42" s="67"/>
      <c r="H42" s="67">
        <v>387192</v>
      </c>
      <c r="I42" s="72">
        <v>255443</v>
      </c>
    </row>
    <row r="43" spans="2:9" x14ac:dyDescent="0.25">
      <c r="B43" s="58">
        <v>40118</v>
      </c>
      <c r="C43" s="67">
        <v>292757</v>
      </c>
      <c r="D43" s="67">
        <v>1548</v>
      </c>
      <c r="E43" s="67">
        <v>294305</v>
      </c>
      <c r="F43" s="67">
        <v>93737</v>
      </c>
      <c r="G43" s="67"/>
      <c r="H43" s="67">
        <v>388042</v>
      </c>
      <c r="I43" s="72">
        <v>257355</v>
      </c>
    </row>
    <row r="44" spans="2:9" x14ac:dyDescent="0.25">
      <c r="B44" s="58">
        <v>40148</v>
      </c>
      <c r="C44" s="67">
        <v>289485</v>
      </c>
      <c r="D44" s="67">
        <v>1548</v>
      </c>
      <c r="E44" s="67">
        <v>291033</v>
      </c>
      <c r="F44" s="67">
        <v>92245</v>
      </c>
      <c r="G44" s="67"/>
      <c r="H44" s="67">
        <v>383278</v>
      </c>
      <c r="I44" s="72">
        <v>245306</v>
      </c>
    </row>
    <row r="45" spans="2:9" x14ac:dyDescent="0.25">
      <c r="B45" s="58">
        <v>40179</v>
      </c>
      <c r="C45" s="67">
        <v>287098</v>
      </c>
      <c r="D45" s="67">
        <v>1548</v>
      </c>
      <c r="E45" s="67">
        <v>262268</v>
      </c>
      <c r="F45" s="67">
        <v>101465</v>
      </c>
      <c r="G45" s="67"/>
      <c r="H45" s="67">
        <v>373808</v>
      </c>
      <c r="I45" s="72">
        <v>267110</v>
      </c>
    </row>
    <row r="46" spans="2:9" x14ac:dyDescent="0.25">
      <c r="B46" s="58">
        <v>40210</v>
      </c>
      <c r="C46" s="67">
        <v>286596</v>
      </c>
      <c r="D46" s="67">
        <v>1548</v>
      </c>
      <c r="E46" s="67">
        <v>288144</v>
      </c>
      <c r="F46" s="67">
        <v>107790</v>
      </c>
      <c r="G46" s="67"/>
      <c r="H46" s="67">
        <v>379738</v>
      </c>
      <c r="I46" s="72">
        <v>265136</v>
      </c>
    </row>
    <row r="47" spans="2:9" x14ac:dyDescent="0.25">
      <c r="B47" s="58">
        <v>40238</v>
      </c>
      <c r="C47" s="67">
        <v>286472</v>
      </c>
      <c r="D47" s="67">
        <v>1548</v>
      </c>
      <c r="E47" s="67">
        <v>288020</v>
      </c>
      <c r="F47" s="67">
        <v>111591</v>
      </c>
      <c r="G47" s="67"/>
      <c r="H47" s="67">
        <v>399611</v>
      </c>
      <c r="I47" s="72">
        <v>269734</v>
      </c>
    </row>
    <row r="48" spans="2:9" x14ac:dyDescent="0.25">
      <c r="B48" s="58">
        <v>40269</v>
      </c>
      <c r="C48" s="67">
        <v>293782</v>
      </c>
      <c r="D48" s="67">
        <v>1548</v>
      </c>
      <c r="E48" s="67">
        <v>295330</v>
      </c>
      <c r="F48" s="67">
        <v>102513</v>
      </c>
      <c r="G48" s="67"/>
      <c r="H48" s="67">
        <v>397843</v>
      </c>
      <c r="I48" s="72">
        <v>276249</v>
      </c>
    </row>
    <row r="49" spans="2:9" x14ac:dyDescent="0.25">
      <c r="B49" s="58">
        <v>40299</v>
      </c>
      <c r="C49" s="67">
        <v>287264</v>
      </c>
      <c r="D49" s="67">
        <v>1548</v>
      </c>
      <c r="E49" s="67">
        <v>288812</v>
      </c>
      <c r="F49" s="67">
        <v>101995</v>
      </c>
      <c r="G49" s="67"/>
      <c r="H49" s="67">
        <v>390807</v>
      </c>
      <c r="I49" s="72">
        <v>262920</v>
      </c>
    </row>
    <row r="50" spans="2:9" x14ac:dyDescent="0.25">
      <c r="B50" s="58">
        <v>40330</v>
      </c>
      <c r="C50" s="67">
        <v>310950</v>
      </c>
      <c r="D50" s="67">
        <v>1518</v>
      </c>
      <c r="E50" s="67">
        <v>312468</v>
      </c>
      <c r="F50" s="67">
        <v>99176</v>
      </c>
      <c r="G50" s="67"/>
      <c r="H50" s="67">
        <v>411644</v>
      </c>
      <c r="I50" s="72">
        <v>281797</v>
      </c>
    </row>
    <row r="51" spans="2:9" x14ac:dyDescent="0.25">
      <c r="B51" s="58">
        <v>40360</v>
      </c>
      <c r="C51" s="67">
        <v>313776</v>
      </c>
      <c r="D51" s="67">
        <v>1593</v>
      </c>
      <c r="E51" s="67">
        <v>315369</v>
      </c>
      <c r="F51" s="67">
        <v>103290</v>
      </c>
      <c r="G51" s="67"/>
      <c r="H51" s="67">
        <v>418659</v>
      </c>
      <c r="I51" s="72">
        <v>277438</v>
      </c>
    </row>
    <row r="52" spans="2:9" x14ac:dyDescent="0.25">
      <c r="B52" s="58">
        <v>40391</v>
      </c>
      <c r="C52" s="67">
        <v>319448</v>
      </c>
      <c r="D52" s="67">
        <v>1593</v>
      </c>
      <c r="E52" s="67">
        <v>321041</v>
      </c>
      <c r="F52" s="67">
        <v>89486</v>
      </c>
      <c r="G52" s="67"/>
      <c r="H52" s="67">
        <v>410527</v>
      </c>
      <c r="I52" s="72">
        <v>287050</v>
      </c>
    </row>
    <row r="53" spans="2:9" x14ac:dyDescent="0.25">
      <c r="B53" s="58">
        <v>40422</v>
      </c>
      <c r="C53" s="67">
        <v>327497</v>
      </c>
      <c r="D53" s="67">
        <v>1562</v>
      </c>
      <c r="E53" s="67">
        <v>329059</v>
      </c>
      <c r="F53" s="67">
        <v>87085</v>
      </c>
      <c r="G53" s="67"/>
      <c r="H53" s="67">
        <v>416144</v>
      </c>
      <c r="I53" s="72">
        <v>274268</v>
      </c>
    </row>
    <row r="54" spans="2:9" x14ac:dyDescent="0.25">
      <c r="B54" s="58">
        <v>40452</v>
      </c>
      <c r="C54" s="67">
        <v>328064</v>
      </c>
      <c r="D54" s="67">
        <v>1562</v>
      </c>
      <c r="E54" s="67">
        <v>329626</v>
      </c>
      <c r="F54" s="67">
        <v>98214</v>
      </c>
      <c r="G54" s="67"/>
      <c r="H54" s="67">
        <v>427840</v>
      </c>
      <c r="I54" s="72">
        <v>276005</v>
      </c>
    </row>
    <row r="55" spans="2:9" x14ac:dyDescent="0.25">
      <c r="B55" s="58">
        <v>40483</v>
      </c>
      <c r="C55" s="67">
        <v>326079</v>
      </c>
      <c r="D55" s="67">
        <v>1562</v>
      </c>
      <c r="E55" s="67">
        <v>327641</v>
      </c>
      <c r="F55" s="67">
        <v>93040</v>
      </c>
      <c r="G55" s="67"/>
      <c r="H55" s="67">
        <v>420681</v>
      </c>
      <c r="I55" s="72">
        <v>279383</v>
      </c>
    </row>
    <row r="56" spans="2:9" x14ac:dyDescent="0.25">
      <c r="B56" s="58">
        <v>40513</v>
      </c>
      <c r="C56" s="67">
        <v>321118</v>
      </c>
      <c r="D56" s="9">
        <v>1656</v>
      </c>
      <c r="E56" s="66">
        <v>322680</v>
      </c>
      <c r="F56" s="66">
        <v>90510</v>
      </c>
      <c r="G56" s="66"/>
      <c r="H56" s="66">
        <v>413190</v>
      </c>
      <c r="I56" s="73">
        <v>273444</v>
      </c>
    </row>
    <row r="57" spans="2:9" x14ac:dyDescent="0.25">
      <c r="B57" s="58">
        <v>40544</v>
      </c>
      <c r="C57" s="67">
        <v>321544</v>
      </c>
      <c r="D57" s="9">
        <v>1686</v>
      </c>
      <c r="E57" s="66">
        <v>323230</v>
      </c>
      <c r="F57" s="66">
        <v>87005</v>
      </c>
      <c r="G57" s="66"/>
      <c r="H57" s="66">
        <v>410235</v>
      </c>
      <c r="I57" s="73">
        <v>276623</v>
      </c>
    </row>
    <row r="58" spans="2:9" x14ac:dyDescent="0.25">
      <c r="B58" s="58">
        <v>40575</v>
      </c>
      <c r="C58" s="67">
        <v>334595</v>
      </c>
      <c r="D58" s="9">
        <v>1717</v>
      </c>
      <c r="E58" s="66">
        <v>336312</v>
      </c>
      <c r="F58" s="66">
        <v>112307</v>
      </c>
      <c r="G58" s="66"/>
      <c r="H58" s="66">
        <v>448619</v>
      </c>
      <c r="I58" s="73">
        <v>284249</v>
      </c>
    </row>
    <row r="59" spans="2:9" x14ac:dyDescent="0.25">
      <c r="B59" s="58">
        <v>40603</v>
      </c>
      <c r="C59" s="67">
        <v>340096</v>
      </c>
      <c r="D59" s="67">
        <v>1739</v>
      </c>
      <c r="E59" s="66">
        <v>341835</v>
      </c>
      <c r="F59" s="66">
        <v>109254</v>
      </c>
      <c r="G59" s="66"/>
      <c r="H59" s="66">
        <v>451089</v>
      </c>
      <c r="I59" s="73">
        <v>287694</v>
      </c>
    </row>
    <row r="60" spans="2:9" x14ac:dyDescent="0.25">
      <c r="B60" s="58">
        <v>40634</v>
      </c>
      <c r="C60" s="67">
        <v>349103</v>
      </c>
      <c r="D60" s="9">
        <v>1782</v>
      </c>
      <c r="E60" s="66">
        <v>350885</v>
      </c>
      <c r="F60" s="66">
        <v>103492</v>
      </c>
      <c r="G60" s="66"/>
      <c r="H60" s="66">
        <v>454377</v>
      </c>
      <c r="I60" s="73">
        <v>294137</v>
      </c>
    </row>
    <row r="61" spans="2:9" x14ac:dyDescent="0.25">
      <c r="B61" s="58">
        <v>40664</v>
      </c>
      <c r="C61" s="67">
        <v>346697</v>
      </c>
      <c r="D61" s="67">
        <v>1803</v>
      </c>
      <c r="E61" s="66">
        <v>348500</v>
      </c>
      <c r="F61" s="66">
        <v>102891</v>
      </c>
      <c r="G61" s="66"/>
      <c r="H61" s="66">
        <v>451391</v>
      </c>
      <c r="I61" s="73">
        <v>268807</v>
      </c>
    </row>
    <row r="62" spans="2:9" x14ac:dyDescent="0.25">
      <c r="B62" s="58">
        <v>40695</v>
      </c>
      <c r="C62" s="67">
        <v>372310</v>
      </c>
      <c r="D62" s="9">
        <v>1884</v>
      </c>
      <c r="E62" s="66">
        <v>374194</v>
      </c>
      <c r="F62" s="66">
        <v>99422</v>
      </c>
      <c r="G62" s="66"/>
      <c r="H62" s="66">
        <v>473616</v>
      </c>
      <c r="I62" s="73">
        <v>283281</v>
      </c>
    </row>
    <row r="63" spans="2:9" x14ac:dyDescent="0.25">
      <c r="B63" s="58">
        <v>40725</v>
      </c>
      <c r="C63" s="67">
        <v>377846</v>
      </c>
      <c r="D63" s="67">
        <v>1948</v>
      </c>
      <c r="E63" s="66">
        <v>379794</v>
      </c>
      <c r="F63" s="66">
        <v>116907</v>
      </c>
      <c r="G63" s="66"/>
      <c r="H63" s="66">
        <v>496701</v>
      </c>
      <c r="I63" s="73">
        <v>294514</v>
      </c>
    </row>
    <row r="64" spans="2:9" x14ac:dyDescent="0.25">
      <c r="B64" s="58">
        <v>40756</v>
      </c>
      <c r="C64" s="9">
        <v>391925</v>
      </c>
      <c r="D64" s="9">
        <v>2013</v>
      </c>
      <c r="E64" s="66">
        <v>393938</v>
      </c>
      <c r="F64" s="66">
        <v>137983</v>
      </c>
      <c r="G64" s="66"/>
      <c r="H64" s="66">
        <v>531921</v>
      </c>
      <c r="I64" s="73">
        <v>321296</v>
      </c>
    </row>
    <row r="65" spans="2:9" x14ac:dyDescent="0.25">
      <c r="B65" s="58">
        <v>40787</v>
      </c>
      <c r="C65" s="9">
        <v>397850</v>
      </c>
      <c r="D65" s="9">
        <v>2013</v>
      </c>
      <c r="E65" s="66">
        <v>399863</v>
      </c>
      <c r="F65" s="66">
        <v>147064</v>
      </c>
      <c r="G65" s="66"/>
      <c r="H65" s="66">
        <v>546927</v>
      </c>
      <c r="I65" s="73">
        <v>312092</v>
      </c>
    </row>
    <row r="66" spans="2:9" x14ac:dyDescent="0.25">
      <c r="B66" s="58">
        <v>40817</v>
      </c>
      <c r="C66" s="9">
        <v>394160</v>
      </c>
      <c r="D66" s="9">
        <v>2013</v>
      </c>
      <c r="E66" s="66">
        <v>396173</v>
      </c>
      <c r="F66" s="24">
        <v>192647</v>
      </c>
      <c r="G66" s="24"/>
      <c r="H66" s="66">
        <v>588820</v>
      </c>
      <c r="I66" s="73">
        <v>336066</v>
      </c>
    </row>
    <row r="67" spans="2:9" x14ac:dyDescent="0.25">
      <c r="B67" s="58">
        <v>40848</v>
      </c>
      <c r="C67" s="67">
        <v>358218</v>
      </c>
      <c r="D67" s="67">
        <v>2013</v>
      </c>
      <c r="E67" s="66">
        <v>360231</v>
      </c>
      <c r="F67" s="66">
        <v>132080</v>
      </c>
      <c r="G67" s="66"/>
      <c r="H67" s="66">
        <v>492310</v>
      </c>
      <c r="I67" s="73">
        <v>290889</v>
      </c>
    </row>
    <row r="68" spans="2:9" x14ac:dyDescent="0.25">
      <c r="B68" s="58">
        <v>40878</v>
      </c>
      <c r="C68" s="67">
        <v>359652</v>
      </c>
      <c r="D68" s="67">
        <v>2013</v>
      </c>
      <c r="E68" s="66">
        <v>361664</v>
      </c>
      <c r="F68" s="66">
        <v>152877</v>
      </c>
      <c r="G68" s="66"/>
      <c r="H68" s="66">
        <v>514542</v>
      </c>
      <c r="I68" s="73">
        <v>297294</v>
      </c>
    </row>
    <row r="69" spans="2:9" x14ac:dyDescent="0.25">
      <c r="B69" s="58">
        <v>40909</v>
      </c>
      <c r="C69" s="67">
        <v>350227</v>
      </c>
      <c r="D69" s="67">
        <v>1766</v>
      </c>
      <c r="E69" s="67">
        <v>351993</v>
      </c>
      <c r="F69" s="67">
        <v>158627</v>
      </c>
      <c r="G69" s="67"/>
      <c r="H69" s="67">
        <v>510620</v>
      </c>
      <c r="I69" s="72">
        <v>300022</v>
      </c>
    </row>
    <row r="70" spans="2:9" x14ac:dyDescent="0.25">
      <c r="B70" s="58">
        <v>40940</v>
      </c>
      <c r="C70" s="67">
        <v>367517</v>
      </c>
      <c r="D70" s="67">
        <v>1735</v>
      </c>
      <c r="E70" s="67">
        <v>369252</v>
      </c>
      <c r="F70" s="67">
        <v>147766</v>
      </c>
      <c r="G70" s="67"/>
      <c r="H70" s="67">
        <v>517018</v>
      </c>
      <c r="I70" s="72">
        <v>286685</v>
      </c>
    </row>
    <row r="71" spans="2:9" x14ac:dyDescent="0.25">
      <c r="B71" s="58">
        <v>40969</v>
      </c>
      <c r="C71" s="67">
        <v>388415</v>
      </c>
      <c r="D71" s="67">
        <v>1725</v>
      </c>
      <c r="E71" s="67">
        <v>390140</v>
      </c>
      <c r="F71" s="67">
        <v>122705</v>
      </c>
      <c r="G71" s="67"/>
      <c r="H71" s="67">
        <v>512845</v>
      </c>
      <c r="I71" s="72">
        <v>277886</v>
      </c>
    </row>
    <row r="72" spans="2:9" x14ac:dyDescent="0.25">
      <c r="B72" s="58">
        <v>41000</v>
      </c>
      <c r="C72" s="67">
        <v>430861</v>
      </c>
      <c r="D72" s="67">
        <v>1726</v>
      </c>
      <c r="E72" s="67">
        <v>432587</v>
      </c>
      <c r="F72" s="67">
        <v>108613</v>
      </c>
      <c r="G72" s="67"/>
      <c r="H72" s="67">
        <v>541200</v>
      </c>
      <c r="I72" s="72">
        <v>293099</v>
      </c>
    </row>
    <row r="73" spans="2:9" x14ac:dyDescent="0.25">
      <c r="B73" s="58">
        <v>41030</v>
      </c>
      <c r="C73" s="67">
        <v>409869</v>
      </c>
      <c r="D73" s="67">
        <v>1748</v>
      </c>
      <c r="E73" s="67">
        <v>411617</v>
      </c>
      <c r="F73" s="67">
        <v>133165</v>
      </c>
      <c r="G73" s="67"/>
      <c r="H73" s="67">
        <v>544783</v>
      </c>
      <c r="I73" s="72">
        <v>294871</v>
      </c>
    </row>
    <row r="74" spans="2:9" x14ac:dyDescent="0.25">
      <c r="B74" s="58">
        <v>41061</v>
      </c>
      <c r="C74" s="67">
        <v>440161</v>
      </c>
      <c r="D74" s="67">
        <v>1700</v>
      </c>
      <c r="E74" s="67">
        <v>441861</v>
      </c>
      <c r="F74" s="67">
        <v>147181</v>
      </c>
      <c r="G74" s="67"/>
      <c r="H74" s="67">
        <v>580042</v>
      </c>
      <c r="I74" s="72">
        <v>323476</v>
      </c>
    </row>
    <row r="75" spans="2:9" x14ac:dyDescent="0.25">
      <c r="B75" s="58">
        <v>41091</v>
      </c>
      <c r="C75" s="67">
        <v>432452</v>
      </c>
      <c r="D75" s="67">
        <v>1725</v>
      </c>
      <c r="E75" s="67">
        <v>434177</v>
      </c>
      <c r="F75" s="67">
        <v>145961</v>
      </c>
      <c r="G75" s="67"/>
      <c r="H75" s="67">
        <v>580138</v>
      </c>
      <c r="I75" s="72">
        <v>313037</v>
      </c>
    </row>
    <row r="76" spans="2:9" x14ac:dyDescent="0.25">
      <c r="B76" s="58">
        <v>41122</v>
      </c>
      <c r="C76" s="67">
        <v>453825</v>
      </c>
      <c r="D76" s="67">
        <v>1738</v>
      </c>
      <c r="E76" s="67">
        <v>455563</v>
      </c>
      <c r="F76" s="67">
        <v>132286</v>
      </c>
      <c r="G76" s="67"/>
      <c r="H76" s="67">
        <v>587849</v>
      </c>
      <c r="I76" s="72">
        <v>330367</v>
      </c>
    </row>
    <row r="77" spans="2:9" x14ac:dyDescent="0.25">
      <c r="B77" s="58">
        <v>41153</v>
      </c>
      <c r="C77" s="67">
        <v>466145</v>
      </c>
      <c r="D77" s="67">
        <v>1778</v>
      </c>
      <c r="E77" s="67">
        <v>467923</v>
      </c>
      <c r="F77" s="67">
        <v>148252</v>
      </c>
      <c r="G77" s="67"/>
      <c r="H77" s="67">
        <v>616175</v>
      </c>
      <c r="I77" s="72">
        <v>353751</v>
      </c>
    </row>
    <row r="78" spans="2:9" x14ac:dyDescent="0.25">
      <c r="B78" s="58">
        <v>41183</v>
      </c>
      <c r="C78" s="67">
        <v>466827</v>
      </c>
      <c r="D78" s="67">
        <v>1766</v>
      </c>
      <c r="E78" s="67">
        <v>468593</v>
      </c>
      <c r="F78" s="67">
        <v>150949</v>
      </c>
      <c r="G78" s="67"/>
      <c r="H78" s="67">
        <v>619542</v>
      </c>
      <c r="I78" s="72">
        <v>361159</v>
      </c>
    </row>
    <row r="79" spans="2:9" x14ac:dyDescent="0.25">
      <c r="B79" s="58">
        <v>41214</v>
      </c>
      <c r="C79" s="67">
        <v>491522</v>
      </c>
      <c r="D79" s="67">
        <v>1826</v>
      </c>
      <c r="E79" s="67">
        <v>493348</v>
      </c>
      <c r="F79" s="67">
        <v>162576</v>
      </c>
      <c r="G79" s="67"/>
      <c r="H79" s="67">
        <v>655925</v>
      </c>
      <c r="I79" s="72">
        <v>372279</v>
      </c>
    </row>
    <row r="80" spans="2:9" x14ac:dyDescent="0.25">
      <c r="B80" s="58">
        <v>41244</v>
      </c>
      <c r="C80" s="67">
        <v>489264</v>
      </c>
      <c r="D80" s="67">
        <v>1826</v>
      </c>
      <c r="E80" s="67">
        <v>491089</v>
      </c>
      <c r="F80" s="67">
        <v>125448</v>
      </c>
      <c r="G80" s="67"/>
      <c r="H80" s="67">
        <v>616537</v>
      </c>
      <c r="I80" s="72">
        <v>327818</v>
      </c>
    </row>
    <row r="81" spans="2:9" x14ac:dyDescent="0.25">
      <c r="B81" s="58">
        <v>41275</v>
      </c>
      <c r="C81" s="67">
        <v>473167</v>
      </c>
      <c r="D81" s="67">
        <v>1861</v>
      </c>
      <c r="E81" s="67">
        <v>475028</v>
      </c>
      <c r="F81" s="67">
        <v>160150</v>
      </c>
      <c r="G81" s="9">
        <v>1</v>
      </c>
      <c r="H81" s="67">
        <v>635179</v>
      </c>
      <c r="I81" s="72">
        <v>349592</v>
      </c>
    </row>
    <row r="82" spans="2:9" x14ac:dyDescent="0.25">
      <c r="B82" s="58">
        <v>41306</v>
      </c>
      <c r="C82" s="67">
        <v>450973</v>
      </c>
      <c r="D82" s="67">
        <v>1794</v>
      </c>
      <c r="E82" s="67">
        <v>452767</v>
      </c>
      <c r="F82" s="67">
        <v>154317</v>
      </c>
      <c r="G82" s="9">
        <v>4</v>
      </c>
      <c r="H82" s="67">
        <v>607088</v>
      </c>
      <c r="I82" s="72">
        <v>330028</v>
      </c>
    </row>
    <row r="83" spans="2:9" x14ac:dyDescent="0.25">
      <c r="B83" s="58">
        <v>41334</v>
      </c>
      <c r="C83" s="67">
        <v>463445</v>
      </c>
      <c r="D83" s="67">
        <v>1761</v>
      </c>
      <c r="E83" s="67">
        <v>465206</v>
      </c>
      <c r="F83" s="67">
        <v>136203</v>
      </c>
      <c r="G83" s="9">
        <v>13</v>
      </c>
      <c r="H83" s="67">
        <v>601422</v>
      </c>
      <c r="I83" s="72">
        <v>321314</v>
      </c>
    </row>
    <row r="84" spans="2:9" x14ac:dyDescent="0.25">
      <c r="B84" s="58">
        <v>41365</v>
      </c>
      <c r="C84" s="67">
        <v>504608</v>
      </c>
      <c r="D84" s="67">
        <v>1732</v>
      </c>
      <c r="E84" s="67">
        <v>506340</v>
      </c>
      <c r="F84" s="67">
        <v>137122</v>
      </c>
      <c r="G84" s="9">
        <v>20</v>
      </c>
      <c r="H84" s="67">
        <v>643482</v>
      </c>
      <c r="I84" s="72">
        <v>354299</v>
      </c>
    </row>
    <row r="85" spans="2:9" x14ac:dyDescent="0.25">
      <c r="B85" s="58">
        <v>41395</v>
      </c>
      <c r="C85" s="67">
        <v>528465</v>
      </c>
      <c r="D85" s="67">
        <v>1743</v>
      </c>
      <c r="E85" s="67">
        <v>530208</v>
      </c>
      <c r="F85" s="67">
        <v>149688</v>
      </c>
      <c r="G85" s="9">
        <v>14</v>
      </c>
      <c r="H85" s="67">
        <v>679910</v>
      </c>
      <c r="I85" s="72">
        <v>375949</v>
      </c>
    </row>
    <row r="86" spans="2:9" x14ac:dyDescent="0.25">
      <c r="B86" s="58">
        <v>41426</v>
      </c>
      <c r="C86" s="67">
        <v>530844</v>
      </c>
      <c r="D86" s="67">
        <v>1764</v>
      </c>
      <c r="E86" s="67">
        <v>532608</v>
      </c>
      <c r="F86" s="67">
        <v>154809</v>
      </c>
      <c r="G86" s="9">
        <v>9</v>
      </c>
      <c r="H86" s="67">
        <v>687426</v>
      </c>
      <c r="I86" s="72">
        <v>362968</v>
      </c>
    </row>
    <row r="87" spans="2:9" x14ac:dyDescent="0.25">
      <c r="B87" s="58">
        <v>41456</v>
      </c>
      <c r="C87" s="67">
        <v>543986</v>
      </c>
      <c r="D87" s="67">
        <v>1816</v>
      </c>
      <c r="E87" s="67">
        <v>545802</v>
      </c>
      <c r="F87" s="67">
        <v>158064</v>
      </c>
      <c r="G87" s="9">
        <v>72</v>
      </c>
      <c r="H87" s="67">
        <v>703938</v>
      </c>
      <c r="I87" s="72">
        <v>385063</v>
      </c>
    </row>
    <row r="88" spans="2:9" x14ac:dyDescent="0.25">
      <c r="B88" s="58">
        <v>41487</v>
      </c>
      <c r="C88" s="67">
        <v>540160</v>
      </c>
      <c r="D88" s="67">
        <v>1824</v>
      </c>
      <c r="E88" s="67">
        <v>541984</v>
      </c>
      <c r="F88" s="67">
        <v>141909</v>
      </c>
      <c r="G88" s="9">
        <v>72</v>
      </c>
      <c r="H88" s="67">
        <v>683965</v>
      </c>
      <c r="I88" s="72">
        <v>378060</v>
      </c>
    </row>
    <row r="89" spans="2:9" x14ac:dyDescent="0.25">
      <c r="B89" s="58">
        <v>41518</v>
      </c>
      <c r="C89" s="67">
        <v>548918</v>
      </c>
      <c r="D89" s="67">
        <v>1812</v>
      </c>
      <c r="E89" s="67">
        <v>550730</v>
      </c>
      <c r="F89" s="67">
        <v>144535</v>
      </c>
      <c r="G89" s="9">
        <v>81</v>
      </c>
      <c r="H89" s="67">
        <v>695346</v>
      </c>
      <c r="I89" s="72">
        <v>374538</v>
      </c>
    </row>
    <row r="90" spans="2:9" x14ac:dyDescent="0.25">
      <c r="B90" s="58">
        <v>41548</v>
      </c>
      <c r="C90" s="67">
        <v>533552</v>
      </c>
      <c r="D90" s="67">
        <v>1864</v>
      </c>
      <c r="E90" s="67">
        <v>535416</v>
      </c>
      <c r="F90" s="67">
        <v>135915</v>
      </c>
      <c r="G90" s="9">
        <v>62</v>
      </c>
      <c r="H90" s="67">
        <v>671393</v>
      </c>
      <c r="I90" s="72">
        <v>366405</v>
      </c>
    </row>
    <row r="91" spans="2:9" x14ac:dyDescent="0.25">
      <c r="B91" s="58">
        <v>41579</v>
      </c>
      <c r="C91" s="67">
        <v>550239</v>
      </c>
      <c r="D91" s="67">
        <v>1892</v>
      </c>
      <c r="E91" s="67">
        <v>552131</v>
      </c>
      <c r="F91" s="67">
        <v>135697</v>
      </c>
      <c r="G91" s="9">
        <v>130</v>
      </c>
      <c r="H91" s="67">
        <v>687958</v>
      </c>
      <c r="I91" s="72">
        <v>364833</v>
      </c>
    </row>
    <row r="92" spans="2:9" x14ac:dyDescent="0.25">
      <c r="B92" s="58">
        <v>41609</v>
      </c>
      <c r="C92" s="67">
        <v>571969</v>
      </c>
      <c r="D92" s="67">
        <v>1892</v>
      </c>
      <c r="E92" s="67">
        <v>573861</v>
      </c>
      <c r="F92" s="67">
        <v>165976</v>
      </c>
      <c r="G92" s="9">
        <v>31</v>
      </c>
      <c r="H92" s="67">
        <v>739868</v>
      </c>
      <c r="I92" s="72">
        <v>389034</v>
      </c>
    </row>
    <row r="93" spans="2:9" x14ac:dyDescent="0.25">
      <c r="B93" s="58">
        <v>41640</v>
      </c>
      <c r="C93" s="67">
        <v>574742</v>
      </c>
      <c r="D93" s="67">
        <v>1875</v>
      </c>
      <c r="E93" s="67">
        <v>576617</v>
      </c>
      <c r="F93" s="67">
        <v>164383</v>
      </c>
      <c r="G93" s="9">
        <v>140</v>
      </c>
      <c r="H93" s="67">
        <v>741141</v>
      </c>
      <c r="I93" s="72">
        <v>391514</v>
      </c>
    </row>
    <row r="94" spans="2:9" x14ac:dyDescent="0.25">
      <c r="B94" s="58">
        <v>41671</v>
      </c>
      <c r="C94" s="67">
        <v>574712</v>
      </c>
      <c r="D94" s="67">
        <v>1894</v>
      </c>
      <c r="E94" s="67">
        <v>576605</v>
      </c>
      <c r="F94" s="67">
        <v>144343</v>
      </c>
      <c r="G94" s="9">
        <v>139</v>
      </c>
      <c r="H94" s="67">
        <v>721090</v>
      </c>
      <c r="I94" s="72">
        <v>372898</v>
      </c>
    </row>
    <row r="95" spans="2:9" x14ac:dyDescent="0.25">
      <c r="B95" s="58">
        <v>41699</v>
      </c>
      <c r="C95" s="67">
        <v>580864</v>
      </c>
      <c r="D95" s="67">
        <v>1894</v>
      </c>
      <c r="E95" s="67">
        <v>582758</v>
      </c>
      <c r="F95" s="67">
        <v>140478</v>
      </c>
      <c r="G95" s="9">
        <v>214</v>
      </c>
      <c r="H95" s="67">
        <v>723451</v>
      </c>
      <c r="I95" s="72">
        <v>372445</v>
      </c>
    </row>
    <row r="96" spans="2:9" x14ac:dyDescent="0.25">
      <c r="B96" s="58">
        <v>41730</v>
      </c>
      <c r="C96" s="67">
        <v>594010</v>
      </c>
      <c r="D96" s="67">
        <v>1909</v>
      </c>
      <c r="E96" s="67">
        <v>595919</v>
      </c>
      <c r="F96" s="67">
        <v>158854</v>
      </c>
      <c r="G96" s="9">
        <v>97</v>
      </c>
      <c r="H96" s="67">
        <v>754873</v>
      </c>
      <c r="I96" s="72">
        <v>393529</v>
      </c>
    </row>
    <row r="97" spans="2:9" x14ac:dyDescent="0.25">
      <c r="B97" s="58">
        <v>41760</v>
      </c>
      <c r="C97" s="67">
        <v>577369</v>
      </c>
      <c r="D97" s="67">
        <v>1918</v>
      </c>
      <c r="E97" s="67">
        <v>579287</v>
      </c>
      <c r="F97" s="67">
        <v>152086</v>
      </c>
      <c r="G97" s="9">
        <v>229</v>
      </c>
      <c r="H97" s="67">
        <v>731604</v>
      </c>
      <c r="I97" s="72">
        <v>365323</v>
      </c>
    </row>
    <row r="98" spans="2:9" x14ac:dyDescent="0.25">
      <c r="B98" s="58">
        <v>41791</v>
      </c>
      <c r="C98" s="67">
        <v>760343</v>
      </c>
      <c r="D98" s="67">
        <v>1927</v>
      </c>
      <c r="E98" s="67">
        <v>762270</v>
      </c>
      <c r="F98" s="67">
        <v>161602</v>
      </c>
      <c r="G98" s="9">
        <v>249</v>
      </c>
      <c r="H98" s="67">
        <v>924115</v>
      </c>
      <c r="I98" s="72">
        <v>531346</v>
      </c>
    </row>
    <row r="99" spans="2:9" x14ac:dyDescent="0.25">
      <c r="B99" s="58">
        <v>41821</v>
      </c>
      <c r="C99" s="67">
        <v>700165</v>
      </c>
      <c r="D99" s="67">
        <v>1909</v>
      </c>
      <c r="E99" s="67">
        <v>702074</v>
      </c>
      <c r="F99" s="67">
        <v>166986</v>
      </c>
      <c r="G99" s="9">
        <v>159</v>
      </c>
      <c r="H99" s="67">
        <v>869230</v>
      </c>
      <c r="I99" s="72">
        <v>490984</v>
      </c>
    </row>
    <row r="100" spans="2:9" x14ac:dyDescent="0.25">
      <c r="B100" s="58">
        <v>41852</v>
      </c>
      <c r="C100" s="67">
        <v>699415</v>
      </c>
      <c r="D100" s="67">
        <v>1905</v>
      </c>
      <c r="E100" s="67">
        <v>701319</v>
      </c>
      <c r="F100" s="67">
        <v>169489</v>
      </c>
      <c r="G100" s="9">
        <v>873</v>
      </c>
      <c r="H100" s="67">
        <v>871681</v>
      </c>
      <c r="I100" s="72">
        <v>483215</v>
      </c>
    </row>
    <row r="101" spans="2:9" x14ac:dyDescent="0.25">
      <c r="B101" s="58">
        <v>41883</v>
      </c>
      <c r="C101" s="67">
        <v>694807</v>
      </c>
      <c r="D101" s="67">
        <v>1879</v>
      </c>
      <c r="E101" s="67">
        <v>696686</v>
      </c>
      <c r="F101" s="67">
        <v>148158</v>
      </c>
      <c r="G101" s="9">
        <v>665</v>
      </c>
      <c r="H101" s="67">
        <v>845509</v>
      </c>
      <c r="I101" s="72">
        <v>448401</v>
      </c>
    </row>
    <row r="102" spans="2:9" x14ac:dyDescent="0.25">
      <c r="B102" s="58">
        <v>41913</v>
      </c>
      <c r="C102" s="67">
        <v>672382</v>
      </c>
      <c r="D102" s="67">
        <v>1873</v>
      </c>
      <c r="E102" s="67">
        <v>674255</v>
      </c>
      <c r="F102" s="67">
        <v>139471</v>
      </c>
      <c r="G102" s="9" t="s">
        <v>71</v>
      </c>
      <c r="H102" s="67">
        <v>813726</v>
      </c>
      <c r="I102" s="72">
        <v>420129</v>
      </c>
    </row>
    <row r="103" spans="2:9" x14ac:dyDescent="0.25">
      <c r="B103" s="58">
        <v>41944</v>
      </c>
      <c r="C103" s="67">
        <v>665469</v>
      </c>
      <c r="D103" s="67">
        <v>1871</v>
      </c>
      <c r="E103" s="67">
        <v>667340</v>
      </c>
      <c r="F103" s="67">
        <v>152448</v>
      </c>
      <c r="G103" s="9">
        <v>226</v>
      </c>
      <c r="H103" s="67">
        <v>820014</v>
      </c>
      <c r="I103" s="72">
        <v>420895</v>
      </c>
    </row>
    <row r="104" spans="2:9" x14ac:dyDescent="0.25">
      <c r="B104" s="58">
        <v>41974</v>
      </c>
      <c r="C104" s="67">
        <v>723279</v>
      </c>
      <c r="D104" s="67">
        <v>1871</v>
      </c>
      <c r="E104" s="67">
        <v>725151</v>
      </c>
      <c r="F104" s="67">
        <v>166939</v>
      </c>
      <c r="G104" s="9">
        <v>967</v>
      </c>
      <c r="H104" s="67">
        <v>893057</v>
      </c>
      <c r="I104" s="72">
        <v>481526</v>
      </c>
    </row>
    <row r="105" spans="2:9" x14ac:dyDescent="0.25">
      <c r="B105" s="58">
        <v>42005</v>
      </c>
      <c r="C105" s="67">
        <v>702738</v>
      </c>
      <c r="D105" s="67">
        <v>1832</v>
      </c>
      <c r="E105" s="67">
        <v>704570</v>
      </c>
      <c r="F105" s="67">
        <v>185797</v>
      </c>
      <c r="G105" s="9">
        <v>158</v>
      </c>
      <c r="H105" s="67">
        <v>890525</v>
      </c>
      <c r="I105" s="72">
        <v>474003</v>
      </c>
    </row>
    <row r="106" spans="2:9" x14ac:dyDescent="0.25">
      <c r="B106" s="58">
        <v>42036</v>
      </c>
      <c r="C106" s="67">
        <v>713564</v>
      </c>
      <c r="D106" s="67">
        <v>1827</v>
      </c>
      <c r="E106" s="67">
        <v>715391</v>
      </c>
      <c r="F106" s="67">
        <v>195345</v>
      </c>
      <c r="G106" s="9">
        <v>151</v>
      </c>
      <c r="H106" s="67">
        <v>910887</v>
      </c>
      <c r="I106" s="72">
        <v>488495</v>
      </c>
    </row>
    <row r="107" spans="2:9" x14ac:dyDescent="0.25">
      <c r="B107" s="58">
        <v>42064</v>
      </c>
      <c r="C107" s="67">
        <v>707206</v>
      </c>
      <c r="D107" s="67">
        <v>1805</v>
      </c>
      <c r="E107" s="67">
        <v>709011</v>
      </c>
      <c r="F107" s="67">
        <v>196899</v>
      </c>
      <c r="G107" s="9">
        <v>111</v>
      </c>
      <c r="H107" s="67">
        <v>906021</v>
      </c>
      <c r="I107" s="72">
        <v>463869</v>
      </c>
    </row>
    <row r="108" spans="2:9" x14ac:dyDescent="0.25">
      <c r="B108" s="58">
        <v>42095</v>
      </c>
      <c r="C108" s="67">
        <v>704648</v>
      </c>
      <c r="D108" s="67">
        <v>1888</v>
      </c>
      <c r="E108" s="67">
        <v>706536</v>
      </c>
      <c r="F108" s="67">
        <v>217211</v>
      </c>
      <c r="G108" s="9">
        <v>151</v>
      </c>
      <c r="H108" s="67">
        <v>923898</v>
      </c>
      <c r="I108" s="72">
        <v>468102</v>
      </c>
    </row>
    <row r="109" spans="2:9" x14ac:dyDescent="0.25">
      <c r="B109" s="58">
        <v>42125</v>
      </c>
      <c r="C109" s="67">
        <v>711734</v>
      </c>
      <c r="D109" s="67">
        <v>1930</v>
      </c>
      <c r="E109" s="67">
        <v>713664</v>
      </c>
      <c r="F109" s="67">
        <v>227781</v>
      </c>
      <c r="G109" s="9">
        <v>196</v>
      </c>
      <c r="H109" s="67">
        <v>941641</v>
      </c>
      <c r="I109" s="72">
        <v>449408</v>
      </c>
    </row>
    <row r="110" spans="2:9" x14ac:dyDescent="0.25">
      <c r="B110" s="58">
        <v>42156</v>
      </c>
      <c r="C110" s="67">
        <v>708191</v>
      </c>
      <c r="D110" s="67">
        <v>1972</v>
      </c>
      <c r="E110" s="67">
        <v>710163</v>
      </c>
      <c r="F110" s="67">
        <v>223077</v>
      </c>
      <c r="G110" s="9">
        <v>160</v>
      </c>
      <c r="H110" s="67">
        <v>933400</v>
      </c>
      <c r="I110" s="72">
        <v>437385</v>
      </c>
    </row>
    <row r="111" spans="2:9" x14ac:dyDescent="0.25">
      <c r="B111" s="58">
        <v>42186</v>
      </c>
      <c r="C111" s="67">
        <v>707262</v>
      </c>
      <c r="D111" s="67">
        <v>2032</v>
      </c>
      <c r="E111" s="67">
        <v>709294</v>
      </c>
      <c r="F111" s="67">
        <v>234350</v>
      </c>
      <c r="G111" s="9">
        <v>295</v>
      </c>
      <c r="H111" s="67">
        <v>943939</v>
      </c>
      <c r="I111" s="72">
        <v>414764</v>
      </c>
    </row>
    <row r="112" spans="2:9" x14ac:dyDescent="0.25">
      <c r="B112" s="58">
        <v>42217</v>
      </c>
      <c r="C112" s="67">
        <v>710823</v>
      </c>
      <c r="D112" s="67">
        <v>2070</v>
      </c>
      <c r="E112" s="67">
        <v>712893</v>
      </c>
      <c r="F112" s="67">
        <v>235842</v>
      </c>
      <c r="G112" s="9">
        <v>204</v>
      </c>
      <c r="H112" s="67">
        <v>948939</v>
      </c>
      <c r="I112" s="72">
        <v>406596</v>
      </c>
    </row>
    <row r="113" spans="2:9" x14ac:dyDescent="0.25">
      <c r="B113" s="58">
        <v>42248</v>
      </c>
      <c r="C113" s="67">
        <v>683381</v>
      </c>
      <c r="D113" s="67">
        <v>2070</v>
      </c>
      <c r="E113" s="67">
        <v>685451</v>
      </c>
      <c r="F113" s="67">
        <v>230411</v>
      </c>
      <c r="G113" s="9">
        <v>168</v>
      </c>
      <c r="H113" s="67">
        <v>916030</v>
      </c>
      <c r="I113" s="72">
        <v>391393</v>
      </c>
    </row>
    <row r="114" spans="2:9" x14ac:dyDescent="0.25">
      <c r="B114" s="58">
        <v>42278</v>
      </c>
      <c r="C114" s="67">
        <v>737960</v>
      </c>
      <c r="D114" s="67">
        <v>2070</v>
      </c>
      <c r="E114" s="67">
        <v>740030</v>
      </c>
      <c r="F114" s="67">
        <v>208656</v>
      </c>
      <c r="G114" s="9">
        <v>80</v>
      </c>
      <c r="H114" s="67">
        <v>948766</v>
      </c>
      <c r="I114" s="72">
        <v>438588</v>
      </c>
    </row>
    <row r="115" spans="2:9" x14ac:dyDescent="0.25">
      <c r="B115" s="58">
        <v>42309</v>
      </c>
      <c r="C115" s="67">
        <v>726542</v>
      </c>
      <c r="D115" s="67">
        <v>2070</v>
      </c>
      <c r="E115" s="67">
        <v>728612</v>
      </c>
      <c r="F115" s="67">
        <v>229787</v>
      </c>
      <c r="G115" s="9">
        <v>180</v>
      </c>
      <c r="H115" s="67">
        <v>958579</v>
      </c>
      <c r="I115" s="72">
        <v>447987</v>
      </c>
    </row>
    <row r="116" spans="2:9" x14ac:dyDescent="0.25">
      <c r="B116" s="58">
        <v>42339</v>
      </c>
      <c r="C116" s="67">
        <v>765127</v>
      </c>
      <c r="D116" s="67">
        <v>2070</v>
      </c>
      <c r="E116" s="67">
        <v>767197</v>
      </c>
      <c r="F116" s="67">
        <v>231129</v>
      </c>
      <c r="G116" s="9">
        <v>643</v>
      </c>
      <c r="H116" s="67">
        <v>998969</v>
      </c>
      <c r="I116" s="72">
        <v>493531</v>
      </c>
    </row>
    <row r="117" spans="2:9" ht="11.5" customHeight="1" x14ac:dyDescent="0.25">
      <c r="B117" s="58">
        <v>42370</v>
      </c>
      <c r="C117" s="67">
        <v>758250</v>
      </c>
      <c r="D117" s="67">
        <v>1997</v>
      </c>
      <c r="E117" s="67">
        <v>760247</v>
      </c>
      <c r="F117" s="67">
        <v>219676</v>
      </c>
      <c r="G117" s="67">
        <v>1019</v>
      </c>
      <c r="H117" s="67">
        <v>980942</v>
      </c>
      <c r="I117" s="72">
        <v>475728</v>
      </c>
    </row>
    <row r="118" spans="2:9" ht="11.5" customHeight="1" x14ac:dyDescent="0.25">
      <c r="B118" s="58">
        <v>42401</v>
      </c>
      <c r="C118" s="67">
        <v>763307</v>
      </c>
      <c r="D118" s="67">
        <v>1983</v>
      </c>
      <c r="E118" s="67">
        <v>765290</v>
      </c>
      <c r="F118" s="67">
        <v>196827</v>
      </c>
      <c r="G118" s="9">
        <v>449</v>
      </c>
      <c r="H118" s="67">
        <v>962566</v>
      </c>
      <c r="I118" s="72">
        <v>459514</v>
      </c>
    </row>
    <row r="119" spans="2:9" ht="11.5" customHeight="1" x14ac:dyDescent="0.25">
      <c r="B119" s="58">
        <v>42430</v>
      </c>
      <c r="C119" s="67">
        <v>786160</v>
      </c>
      <c r="D119" s="67">
        <v>2017</v>
      </c>
      <c r="E119" s="67">
        <v>788177</v>
      </c>
      <c r="F119" s="67">
        <v>202897</v>
      </c>
      <c r="G119" s="9">
        <v>348</v>
      </c>
      <c r="H119" s="67">
        <v>991422</v>
      </c>
      <c r="I119" s="72">
        <v>473919</v>
      </c>
    </row>
    <row r="120" spans="2:9" ht="11.5" customHeight="1" x14ac:dyDescent="0.25">
      <c r="B120" s="58">
        <v>42461</v>
      </c>
      <c r="C120" s="67">
        <v>803930</v>
      </c>
      <c r="D120" s="67">
        <v>2027</v>
      </c>
      <c r="E120" s="67">
        <v>805957</v>
      </c>
      <c r="F120" s="67">
        <v>210085</v>
      </c>
      <c r="G120" s="9">
        <v>138</v>
      </c>
      <c r="H120" s="67">
        <v>1016180</v>
      </c>
      <c r="I120" s="72">
        <v>520094</v>
      </c>
    </row>
    <row r="121" spans="2:9" ht="11.5" customHeight="1" x14ac:dyDescent="0.25">
      <c r="B121" s="58">
        <v>42491</v>
      </c>
      <c r="C121" s="67">
        <v>799984</v>
      </c>
      <c r="D121" s="67">
        <v>1998</v>
      </c>
      <c r="E121" s="67">
        <v>801982</v>
      </c>
      <c r="F121" s="67">
        <v>208686</v>
      </c>
      <c r="G121" s="9">
        <v>185</v>
      </c>
      <c r="H121" s="67">
        <v>1010853</v>
      </c>
      <c r="I121" s="72">
        <v>511573</v>
      </c>
    </row>
    <row r="122" spans="2:9" ht="11.5" customHeight="1" x14ac:dyDescent="0.25">
      <c r="B122" s="58">
        <v>42522</v>
      </c>
      <c r="C122" s="67">
        <v>826995</v>
      </c>
      <c r="D122" s="67">
        <v>1992</v>
      </c>
      <c r="E122" s="67">
        <v>828987</v>
      </c>
      <c r="F122" s="67">
        <v>225644</v>
      </c>
      <c r="G122" s="9">
        <v>380</v>
      </c>
      <c r="H122" s="67">
        <v>1055011</v>
      </c>
      <c r="I122" s="72">
        <v>564983</v>
      </c>
    </row>
    <row r="123" spans="2:9" ht="11.5" customHeight="1" x14ac:dyDescent="0.25">
      <c r="B123" s="58">
        <v>42552</v>
      </c>
      <c r="C123" s="67">
        <v>819852</v>
      </c>
      <c r="D123" s="67">
        <v>1987</v>
      </c>
      <c r="E123" s="67">
        <v>821839</v>
      </c>
      <c r="F123" s="67">
        <v>224735</v>
      </c>
      <c r="G123" s="9">
        <v>139</v>
      </c>
      <c r="H123" s="67">
        <v>1046713</v>
      </c>
      <c r="I123" s="72">
        <v>556330</v>
      </c>
    </row>
    <row r="124" spans="2:9" ht="11.5" customHeight="1" x14ac:dyDescent="0.25">
      <c r="B124" s="58">
        <v>42583</v>
      </c>
      <c r="C124" s="67">
        <v>819867</v>
      </c>
      <c r="D124" s="67">
        <v>1987</v>
      </c>
      <c r="E124" s="67">
        <v>821854</v>
      </c>
      <c r="F124" s="67">
        <v>224052</v>
      </c>
      <c r="G124" s="9">
        <v>373</v>
      </c>
      <c r="H124" s="67">
        <v>1046279</v>
      </c>
      <c r="I124" s="72">
        <v>577824</v>
      </c>
    </row>
    <row r="125" spans="2:9" ht="11.5" customHeight="1" x14ac:dyDescent="0.25">
      <c r="B125" s="58">
        <v>42614</v>
      </c>
      <c r="C125" s="67">
        <v>824645</v>
      </c>
      <c r="D125" s="67">
        <v>1987</v>
      </c>
      <c r="E125" s="67">
        <v>826631</v>
      </c>
      <c r="F125" s="67">
        <v>243270</v>
      </c>
      <c r="G125" s="9">
        <v>404</v>
      </c>
      <c r="H125" s="67">
        <v>1070305</v>
      </c>
      <c r="I125" s="72">
        <v>594122</v>
      </c>
    </row>
    <row r="126" spans="2:9" ht="11.5" customHeight="1" x14ac:dyDescent="0.25">
      <c r="B126" s="58">
        <v>42644</v>
      </c>
      <c r="C126" s="67">
        <v>810612</v>
      </c>
      <c r="D126" s="67">
        <v>1954</v>
      </c>
      <c r="E126" s="67">
        <v>812566</v>
      </c>
      <c r="F126" s="67">
        <v>232025</v>
      </c>
      <c r="G126" s="9">
        <v>117</v>
      </c>
      <c r="H126" s="67">
        <v>1044708</v>
      </c>
      <c r="I126" s="72">
        <v>576317</v>
      </c>
    </row>
    <row r="127" spans="2:9" ht="11.5" customHeight="1" x14ac:dyDescent="0.25">
      <c r="B127" s="58">
        <v>42675</v>
      </c>
      <c r="C127" s="67">
        <v>779924</v>
      </c>
      <c r="D127" s="67">
        <v>1937</v>
      </c>
      <c r="E127" s="67">
        <v>781861</v>
      </c>
      <c r="F127" s="67">
        <v>250070</v>
      </c>
      <c r="G127" s="9">
        <v>202</v>
      </c>
      <c r="H127" s="67">
        <v>1032133</v>
      </c>
      <c r="I127" s="72">
        <v>564286</v>
      </c>
    </row>
    <row r="128" spans="2:9" ht="12" customHeight="1" x14ac:dyDescent="0.25">
      <c r="B128" s="58">
        <v>42705</v>
      </c>
      <c r="C128" s="67">
        <v>751911</v>
      </c>
      <c r="D128" s="67">
        <v>1936</v>
      </c>
      <c r="E128" s="67">
        <v>753847</v>
      </c>
      <c r="F128" s="67">
        <v>206471</v>
      </c>
      <c r="G128" s="67">
        <v>1714</v>
      </c>
      <c r="H128" s="67">
        <v>962032</v>
      </c>
      <c r="I128" s="72">
        <v>497446</v>
      </c>
    </row>
    <row r="129" spans="2:9" ht="11.5" customHeight="1" x14ac:dyDescent="0.25">
      <c r="B129" s="58">
        <v>42736</v>
      </c>
      <c r="C129" s="67">
        <v>762878</v>
      </c>
      <c r="D129" s="67">
        <v>1983</v>
      </c>
      <c r="E129" s="67">
        <v>764861</v>
      </c>
      <c r="F129" s="67">
        <v>234720</v>
      </c>
      <c r="G129" s="9">
        <v>610</v>
      </c>
      <c r="H129" s="67">
        <v>1000191</v>
      </c>
      <c r="I129" s="72">
        <v>519719</v>
      </c>
    </row>
    <row r="130" spans="2:9" ht="11.5" customHeight="1" x14ac:dyDescent="0.25">
      <c r="B130" s="58">
        <v>42767</v>
      </c>
      <c r="C130" s="67">
        <v>761269</v>
      </c>
      <c r="D130" s="67">
        <v>1979</v>
      </c>
      <c r="E130" s="67">
        <v>763249</v>
      </c>
      <c r="F130" s="67">
        <v>253251</v>
      </c>
      <c r="G130" s="9">
        <v>444</v>
      </c>
      <c r="H130" s="67">
        <v>1016944</v>
      </c>
      <c r="I130" s="72">
        <v>534889</v>
      </c>
    </row>
    <row r="131" spans="2:9" ht="11.5" customHeight="1" x14ac:dyDescent="0.25">
      <c r="B131" s="58">
        <v>42795</v>
      </c>
      <c r="C131" s="67">
        <v>837107</v>
      </c>
      <c r="D131" s="67">
        <v>1978</v>
      </c>
      <c r="E131" s="67">
        <v>839085</v>
      </c>
      <c r="F131" s="67">
        <v>247908</v>
      </c>
      <c r="G131" s="9">
        <v>833</v>
      </c>
      <c r="H131" s="67">
        <v>1087826</v>
      </c>
      <c r="I131" s="72">
        <v>604954</v>
      </c>
    </row>
    <row r="132" spans="2:9" ht="11.5" customHeight="1" x14ac:dyDescent="0.25">
      <c r="B132" s="58">
        <v>42826</v>
      </c>
      <c r="C132" s="67">
        <v>895865</v>
      </c>
      <c r="D132" s="67">
        <v>2005</v>
      </c>
      <c r="E132" s="67">
        <v>897842</v>
      </c>
      <c r="F132" s="67">
        <v>259934</v>
      </c>
      <c r="G132" s="9">
        <v>309</v>
      </c>
      <c r="H132" s="67">
        <v>1158086</v>
      </c>
      <c r="I132" s="72">
        <v>678951</v>
      </c>
    </row>
    <row r="133" spans="2:9" ht="11.5" customHeight="1" x14ac:dyDescent="0.25">
      <c r="B133" s="58">
        <v>42856</v>
      </c>
      <c r="C133" s="67">
        <v>885031</v>
      </c>
      <c r="D133" s="67">
        <v>2021</v>
      </c>
      <c r="E133" s="67">
        <v>887052</v>
      </c>
      <c r="F133" s="67">
        <v>242264</v>
      </c>
      <c r="G133" s="9">
        <v>88</v>
      </c>
      <c r="H133" s="67">
        <v>1129404</v>
      </c>
      <c r="I133" s="72">
        <v>658591</v>
      </c>
    </row>
    <row r="134" spans="2:9" ht="11.5" customHeight="1" x14ac:dyDescent="0.25">
      <c r="B134" s="58">
        <v>42887</v>
      </c>
      <c r="C134" s="67">
        <v>878233</v>
      </c>
      <c r="D134" s="67">
        <v>2041</v>
      </c>
      <c r="E134" s="67">
        <v>880273</v>
      </c>
      <c r="F134" s="67">
        <v>250729</v>
      </c>
      <c r="G134" s="67">
        <v>1984</v>
      </c>
      <c r="H134" s="67">
        <v>1132986</v>
      </c>
      <c r="I134" s="72">
        <v>651969</v>
      </c>
    </row>
    <row r="135" spans="2:9" ht="11.5" customHeight="1" x14ac:dyDescent="0.25">
      <c r="B135" s="58">
        <v>42917</v>
      </c>
      <c r="C135" s="67">
        <v>844796</v>
      </c>
      <c r="D135" s="67">
        <v>2068</v>
      </c>
      <c r="E135" s="67">
        <v>846864</v>
      </c>
      <c r="F135" s="67">
        <v>251227</v>
      </c>
      <c r="G135" s="67">
        <v>1003</v>
      </c>
      <c r="H135" s="67">
        <v>1099094</v>
      </c>
      <c r="I135" s="72">
        <v>618008</v>
      </c>
    </row>
    <row r="136" spans="2:9" ht="11.5" customHeight="1" x14ac:dyDescent="0.25">
      <c r="B136" s="58">
        <v>42948</v>
      </c>
      <c r="C136" s="67">
        <v>815225</v>
      </c>
      <c r="D136" s="67">
        <v>2060</v>
      </c>
      <c r="E136" s="67">
        <v>817285</v>
      </c>
      <c r="F136" s="67">
        <v>254556</v>
      </c>
      <c r="G136" s="67">
        <v>4063</v>
      </c>
      <c r="H136" s="67">
        <v>1075904</v>
      </c>
      <c r="I136" s="72">
        <v>609019</v>
      </c>
    </row>
    <row r="137" spans="2:9" ht="11.5" customHeight="1" x14ac:dyDescent="0.25">
      <c r="B137" s="58">
        <v>42979</v>
      </c>
      <c r="C137" s="67">
        <v>830516</v>
      </c>
      <c r="D137" s="67">
        <v>2068</v>
      </c>
      <c r="E137" s="67">
        <v>832576</v>
      </c>
      <c r="F137" s="67">
        <v>251245</v>
      </c>
      <c r="G137" s="67">
        <v>1721</v>
      </c>
      <c r="H137" s="67">
        <v>1085543</v>
      </c>
      <c r="I137" s="72">
        <v>617641</v>
      </c>
    </row>
    <row r="138" spans="2:9" ht="11.5" customHeight="1" x14ac:dyDescent="0.25">
      <c r="B138" s="58">
        <v>43009</v>
      </c>
      <c r="C138" s="67">
        <v>783017</v>
      </c>
      <c r="D138" s="67">
        <v>2062</v>
      </c>
      <c r="E138" s="67">
        <v>785079</v>
      </c>
      <c r="F138" s="67">
        <v>244371</v>
      </c>
      <c r="G138" s="9">
        <v>642</v>
      </c>
      <c r="H138" s="67">
        <v>1030091</v>
      </c>
      <c r="I138" s="72">
        <v>570283</v>
      </c>
    </row>
    <row r="139" spans="2:9" ht="11.5" customHeight="1" x14ac:dyDescent="0.25">
      <c r="B139" s="58">
        <v>43040</v>
      </c>
      <c r="C139" s="67">
        <v>766594</v>
      </c>
      <c r="D139" s="67">
        <v>2071</v>
      </c>
      <c r="E139" s="67">
        <v>768665</v>
      </c>
      <c r="F139" s="67">
        <v>235703</v>
      </c>
      <c r="G139" s="67">
        <v>1144</v>
      </c>
      <c r="H139" s="67">
        <v>1005512</v>
      </c>
      <c r="I139" s="72">
        <v>555190</v>
      </c>
    </row>
    <row r="140" spans="2:9" ht="12" customHeight="1" x14ac:dyDescent="0.25">
      <c r="B140" s="58">
        <v>43070</v>
      </c>
      <c r="C140" s="67">
        <v>754846</v>
      </c>
      <c r="D140" s="67">
        <v>2071</v>
      </c>
      <c r="E140" s="67">
        <v>756918</v>
      </c>
      <c r="F140" s="67">
        <v>238859</v>
      </c>
      <c r="G140" s="9">
        <v>809</v>
      </c>
      <c r="H140" s="67">
        <v>996585</v>
      </c>
      <c r="I140" s="72">
        <v>537145</v>
      </c>
    </row>
    <row r="141" spans="2:9" ht="11.5" customHeight="1" x14ac:dyDescent="0.25">
      <c r="B141" s="58">
        <v>43101</v>
      </c>
      <c r="C141" s="67">
        <v>763804</v>
      </c>
      <c r="D141" s="193" t="s">
        <v>116</v>
      </c>
      <c r="E141" s="193"/>
      <c r="F141" s="67">
        <v>221727</v>
      </c>
      <c r="G141" s="9">
        <v>253</v>
      </c>
      <c r="H141" s="67">
        <v>987901</v>
      </c>
      <c r="I141" s="72">
        <v>527201</v>
      </c>
    </row>
    <row r="142" spans="2:9" ht="11.5" customHeight="1" x14ac:dyDescent="0.25">
      <c r="B142" s="58">
        <v>43132</v>
      </c>
      <c r="C142" s="67">
        <v>763623</v>
      </c>
      <c r="D142" s="193" t="s">
        <v>117</v>
      </c>
      <c r="E142" s="193"/>
      <c r="F142" s="67">
        <v>226187</v>
      </c>
      <c r="G142" s="67">
        <v>1742</v>
      </c>
      <c r="H142" s="67">
        <v>993654</v>
      </c>
      <c r="I142" s="72">
        <v>517758</v>
      </c>
    </row>
    <row r="143" spans="2:9" ht="11.5" customHeight="1" x14ac:dyDescent="0.25">
      <c r="B143" s="58">
        <v>43160</v>
      </c>
      <c r="C143" s="67">
        <v>932536</v>
      </c>
      <c r="D143" s="193" t="s">
        <v>118</v>
      </c>
      <c r="E143" s="193"/>
      <c r="F143" s="67">
        <v>251769</v>
      </c>
      <c r="G143" s="9">
        <v>269</v>
      </c>
      <c r="H143" s="67">
        <v>1186655</v>
      </c>
      <c r="I143" s="72">
        <v>701293</v>
      </c>
    </row>
    <row r="144" spans="2:9" ht="11.5" customHeight="1" x14ac:dyDescent="0.25">
      <c r="B144" s="58">
        <v>43191</v>
      </c>
      <c r="C144" s="67">
        <v>946662</v>
      </c>
      <c r="D144" s="193" t="s">
        <v>119</v>
      </c>
      <c r="E144" s="193"/>
      <c r="F144" s="67">
        <v>257550</v>
      </c>
      <c r="G144" s="67">
        <v>1477</v>
      </c>
      <c r="H144" s="67">
        <v>1207735</v>
      </c>
      <c r="I144" s="72">
        <v>725221</v>
      </c>
    </row>
    <row r="145" spans="2:11" ht="11.5" customHeight="1" x14ac:dyDescent="0.25">
      <c r="B145" s="58">
        <v>43221</v>
      </c>
      <c r="C145" s="67">
        <v>939174</v>
      </c>
      <c r="D145" s="193" t="s">
        <v>120</v>
      </c>
      <c r="E145" s="193"/>
      <c r="F145" s="67">
        <v>267456</v>
      </c>
      <c r="G145" s="67">
        <v>1608</v>
      </c>
      <c r="H145" s="67">
        <v>1210275</v>
      </c>
      <c r="I145" s="72">
        <v>726442</v>
      </c>
    </row>
    <row r="146" spans="2:11" ht="11.5" customHeight="1" x14ac:dyDescent="0.25">
      <c r="B146" s="58">
        <v>43252</v>
      </c>
      <c r="C146" s="67">
        <v>901467</v>
      </c>
      <c r="D146" s="193" t="s">
        <v>121</v>
      </c>
      <c r="E146" s="193"/>
      <c r="F146" s="67">
        <v>318094</v>
      </c>
      <c r="G146" s="9">
        <v>229</v>
      </c>
      <c r="H146" s="67">
        <v>1221826</v>
      </c>
      <c r="I146" s="72">
        <v>760510</v>
      </c>
    </row>
    <row r="147" spans="2:11" ht="11.5" customHeight="1" x14ac:dyDescent="0.25">
      <c r="B147" s="58">
        <v>43282</v>
      </c>
      <c r="C147" s="67">
        <v>915171</v>
      </c>
      <c r="D147" s="193" t="s">
        <v>122</v>
      </c>
      <c r="E147" s="193"/>
      <c r="F147" s="67">
        <v>317414</v>
      </c>
      <c r="G147" s="9">
        <v>747</v>
      </c>
      <c r="H147" s="67">
        <v>1235331</v>
      </c>
      <c r="I147" s="72">
        <v>759525</v>
      </c>
    </row>
    <row r="148" spans="2:11" ht="11.5" customHeight="1" x14ac:dyDescent="0.25">
      <c r="B148" s="58">
        <v>43313</v>
      </c>
      <c r="C148" s="67">
        <v>893032</v>
      </c>
      <c r="D148" s="193" t="s">
        <v>123</v>
      </c>
      <c r="E148" s="193"/>
      <c r="F148" s="67">
        <v>310616</v>
      </c>
      <c r="G148" s="9">
        <v>339</v>
      </c>
      <c r="H148" s="67">
        <v>1205984</v>
      </c>
      <c r="I148" s="72">
        <v>735056</v>
      </c>
    </row>
    <row r="149" spans="2:11" ht="11.5" customHeight="1" x14ac:dyDescent="0.25">
      <c r="B149" s="58">
        <v>43344</v>
      </c>
      <c r="C149" s="67">
        <v>885090</v>
      </c>
      <c r="D149" s="193" t="s">
        <v>124</v>
      </c>
      <c r="E149" s="193"/>
      <c r="F149" s="67">
        <v>335009</v>
      </c>
      <c r="G149" s="9">
        <v>430</v>
      </c>
      <c r="H149" s="67">
        <v>1222524</v>
      </c>
      <c r="I149" s="72">
        <v>745193</v>
      </c>
    </row>
    <row r="150" spans="2:11" ht="11.5" customHeight="1" x14ac:dyDescent="0.25">
      <c r="B150" s="58">
        <v>43374</v>
      </c>
      <c r="C150" s="67">
        <v>862908</v>
      </c>
      <c r="D150" s="193" t="s">
        <v>125</v>
      </c>
      <c r="E150" s="193"/>
      <c r="F150" s="67">
        <v>317149</v>
      </c>
      <c r="G150" s="9">
        <v>172</v>
      </c>
      <c r="H150" s="67">
        <v>1182221</v>
      </c>
      <c r="I150" s="72">
        <v>687480</v>
      </c>
    </row>
    <row r="151" spans="2:11" ht="11.5" customHeight="1" x14ac:dyDescent="0.25">
      <c r="B151" s="58">
        <v>43405</v>
      </c>
      <c r="C151" s="67">
        <v>846765</v>
      </c>
      <c r="D151" s="193" t="s">
        <v>126</v>
      </c>
      <c r="E151" s="193"/>
      <c r="F151" s="67">
        <v>333312</v>
      </c>
      <c r="G151" s="9">
        <v>168</v>
      </c>
      <c r="H151" s="67">
        <v>1182254</v>
      </c>
      <c r="I151" s="72">
        <v>693798</v>
      </c>
    </row>
    <row r="152" spans="2:11" ht="12" customHeight="1" x14ac:dyDescent="0.25">
      <c r="B152" s="58">
        <v>43435</v>
      </c>
      <c r="C152" s="67">
        <v>849909</v>
      </c>
      <c r="D152" s="193" t="s">
        <v>127</v>
      </c>
      <c r="E152" s="193"/>
      <c r="F152" s="67">
        <v>334655</v>
      </c>
      <c r="G152" s="9">
        <v>372</v>
      </c>
      <c r="H152" s="67">
        <v>1186944</v>
      </c>
      <c r="I152" s="72">
        <v>716108</v>
      </c>
    </row>
    <row r="153" spans="2:11" ht="11.5" customHeight="1" x14ac:dyDescent="0.25">
      <c r="B153" s="58">
        <v>43466</v>
      </c>
      <c r="C153" s="67">
        <v>859627</v>
      </c>
      <c r="D153" s="193" t="s">
        <v>128</v>
      </c>
      <c r="E153" s="193"/>
      <c r="F153" s="67">
        <v>317362</v>
      </c>
      <c r="G153" s="9">
        <v>226</v>
      </c>
      <c r="H153" s="67">
        <v>1179217</v>
      </c>
      <c r="I153" s="72">
        <v>708650</v>
      </c>
    </row>
    <row r="154" spans="2:11" ht="11.5" customHeight="1" x14ac:dyDescent="0.25">
      <c r="B154" s="58">
        <v>43497</v>
      </c>
      <c r="C154" s="67">
        <v>855490</v>
      </c>
      <c r="D154" s="193" t="s">
        <v>129</v>
      </c>
      <c r="E154" s="193"/>
      <c r="F154" s="67">
        <v>316684</v>
      </c>
      <c r="G154" s="9">
        <v>571</v>
      </c>
      <c r="H154" s="67">
        <v>1174726</v>
      </c>
      <c r="I154" s="72">
        <v>713045</v>
      </c>
    </row>
    <row r="155" spans="2:11" ht="11.5" customHeight="1" x14ac:dyDescent="0.25">
      <c r="B155" s="58">
        <v>43525</v>
      </c>
      <c r="C155" s="67">
        <v>857149</v>
      </c>
      <c r="D155" s="193" t="s">
        <v>130</v>
      </c>
      <c r="E155" s="193"/>
      <c r="F155" s="67">
        <v>333816</v>
      </c>
      <c r="G155" s="9">
        <v>146</v>
      </c>
      <c r="H155" s="67">
        <v>1193092</v>
      </c>
      <c r="I155" s="72">
        <v>721965</v>
      </c>
    </row>
    <row r="156" spans="2:11" ht="11.5" customHeight="1" x14ac:dyDescent="0.25">
      <c r="B156" s="58">
        <v>43556</v>
      </c>
      <c r="C156" s="67">
        <v>848279</v>
      </c>
      <c r="D156" s="193" t="s">
        <v>131</v>
      </c>
      <c r="E156" s="193"/>
      <c r="F156" s="67">
        <v>361257</v>
      </c>
      <c r="G156" s="9">
        <v>193</v>
      </c>
      <c r="H156" s="67">
        <v>1211717</v>
      </c>
      <c r="I156" s="72">
        <v>746093</v>
      </c>
    </row>
    <row r="157" spans="2:11" ht="11.5" customHeight="1" x14ac:dyDescent="0.25">
      <c r="B157" s="58">
        <v>43586</v>
      </c>
      <c r="C157" s="67">
        <v>1055911</v>
      </c>
      <c r="D157" s="193" t="s">
        <v>132</v>
      </c>
      <c r="E157" s="193"/>
      <c r="F157" s="67">
        <v>330133</v>
      </c>
      <c r="G157" s="9">
        <v>122</v>
      </c>
      <c r="H157" s="67">
        <v>1388141</v>
      </c>
      <c r="I157" s="72">
        <v>936362</v>
      </c>
      <c r="K157" s="64"/>
    </row>
    <row r="158" spans="2:11" ht="11.5" customHeight="1" x14ac:dyDescent="0.25">
      <c r="B158" s="58">
        <v>43617</v>
      </c>
      <c r="C158" s="67">
        <v>1048595</v>
      </c>
      <c r="D158" s="193" t="s">
        <v>133</v>
      </c>
      <c r="E158" s="193"/>
      <c r="F158" s="67">
        <v>361254</v>
      </c>
      <c r="G158" s="9">
        <v>207</v>
      </c>
      <c r="H158" s="67">
        <v>1412052</v>
      </c>
      <c r="I158" s="72">
        <v>941897</v>
      </c>
      <c r="K158" s="64"/>
    </row>
    <row r="159" spans="2:11" ht="11.5" customHeight="1" x14ac:dyDescent="0.25">
      <c r="B159" s="58">
        <v>43647</v>
      </c>
      <c r="C159" s="67">
        <v>1030383</v>
      </c>
      <c r="D159" s="193" t="s">
        <v>134</v>
      </c>
      <c r="E159" s="193"/>
      <c r="F159" s="67">
        <v>357141</v>
      </c>
      <c r="G159" s="9">
        <v>95</v>
      </c>
      <c r="H159" s="67">
        <v>1389640</v>
      </c>
      <c r="I159" s="72">
        <v>902678</v>
      </c>
      <c r="K159" s="64"/>
    </row>
    <row r="160" spans="2:11" ht="11.5" customHeight="1" x14ac:dyDescent="0.25">
      <c r="B160" s="58">
        <v>43678</v>
      </c>
      <c r="C160" s="67">
        <v>990215</v>
      </c>
      <c r="D160" s="193" t="s">
        <v>135</v>
      </c>
      <c r="E160" s="193"/>
      <c r="F160" s="67">
        <v>370055</v>
      </c>
      <c r="G160" s="9">
        <v>157</v>
      </c>
      <c r="H160" s="67">
        <v>1362431</v>
      </c>
      <c r="I160" s="72">
        <v>870469</v>
      </c>
      <c r="K160" s="64"/>
    </row>
    <row r="161" spans="2:11" ht="11.5" customHeight="1" x14ac:dyDescent="0.25">
      <c r="B161" s="58">
        <v>43709</v>
      </c>
      <c r="C161" s="67">
        <v>977691</v>
      </c>
      <c r="D161" s="193" t="s">
        <v>136</v>
      </c>
      <c r="E161" s="193"/>
      <c r="F161" s="67">
        <v>378320</v>
      </c>
      <c r="G161" s="9">
        <v>578</v>
      </c>
      <c r="H161" s="67">
        <v>1358593</v>
      </c>
      <c r="I161" s="72">
        <v>837448</v>
      </c>
    </row>
    <row r="162" spans="2:11" ht="11.5" customHeight="1" x14ac:dyDescent="0.25">
      <c r="B162" s="58">
        <v>43739</v>
      </c>
      <c r="C162" s="67">
        <v>962187</v>
      </c>
      <c r="D162" s="193" t="s">
        <v>137</v>
      </c>
      <c r="E162" s="193"/>
      <c r="F162" s="67">
        <v>411670</v>
      </c>
      <c r="G162" s="9">
        <v>251</v>
      </c>
      <c r="H162" s="67">
        <v>1376122</v>
      </c>
      <c r="I162" s="72">
        <v>858462</v>
      </c>
      <c r="K162" s="64"/>
    </row>
    <row r="163" spans="2:11" ht="12" customHeight="1" x14ac:dyDescent="0.25">
      <c r="B163" s="58">
        <v>43770</v>
      </c>
      <c r="C163" s="67">
        <v>938147</v>
      </c>
      <c r="D163" s="193" t="s">
        <v>138</v>
      </c>
      <c r="E163" s="193"/>
      <c r="F163" s="67">
        <v>377509</v>
      </c>
      <c r="G163" s="9">
        <v>760</v>
      </c>
      <c r="H163" s="67">
        <v>1318414</v>
      </c>
      <c r="I163" s="72">
        <v>797584</v>
      </c>
      <c r="K163" s="64"/>
    </row>
    <row r="164" spans="2:11" x14ac:dyDescent="0.25">
      <c r="B164" s="58">
        <v>43800</v>
      </c>
      <c r="C164" s="66">
        <v>939056</v>
      </c>
      <c r="D164" s="66">
        <v>1984</v>
      </c>
      <c r="E164" s="66">
        <v>941040</v>
      </c>
      <c r="F164" s="66">
        <v>385424</v>
      </c>
      <c r="G164" s="24">
        <v>966</v>
      </c>
      <c r="H164" s="66">
        <v>1327430</v>
      </c>
      <c r="I164" s="73">
        <v>806437</v>
      </c>
    </row>
    <row r="165" spans="2:11" x14ac:dyDescent="0.25">
      <c r="B165" s="58">
        <v>43831</v>
      </c>
      <c r="C165" s="67">
        <v>896710</v>
      </c>
      <c r="D165" s="67">
        <v>1855</v>
      </c>
      <c r="E165" s="67">
        <v>896732</v>
      </c>
      <c r="F165" s="67">
        <v>390881</v>
      </c>
      <c r="G165" s="9">
        <v>207</v>
      </c>
      <c r="H165" s="67">
        <v>1287820</v>
      </c>
      <c r="I165" s="72">
        <v>776129</v>
      </c>
    </row>
    <row r="166" spans="2:11" x14ac:dyDescent="0.25">
      <c r="B166" s="58">
        <v>43862</v>
      </c>
      <c r="C166" s="67">
        <v>888229</v>
      </c>
      <c r="D166" s="67">
        <v>1858</v>
      </c>
      <c r="E166" s="67">
        <v>888227</v>
      </c>
      <c r="F166" s="67">
        <v>412126</v>
      </c>
      <c r="G166" s="9">
        <v>102</v>
      </c>
      <c r="H166" s="67">
        <v>1300455</v>
      </c>
      <c r="I166" s="72">
        <v>786418</v>
      </c>
    </row>
    <row r="167" spans="2:11" x14ac:dyDescent="0.25">
      <c r="B167" s="58">
        <v>43891</v>
      </c>
      <c r="C167" s="67">
        <v>903785</v>
      </c>
      <c r="D167" s="67">
        <v>1914</v>
      </c>
      <c r="E167" s="67">
        <v>905700</v>
      </c>
      <c r="F167" s="67">
        <v>399097</v>
      </c>
      <c r="G167" s="9">
        <v>118</v>
      </c>
      <c r="H167" s="67">
        <v>1304915</v>
      </c>
      <c r="I167" s="72">
        <v>769721</v>
      </c>
    </row>
    <row r="168" spans="2:11" x14ac:dyDescent="0.25">
      <c r="B168" s="58">
        <v>43922</v>
      </c>
      <c r="C168" s="67">
        <v>896448</v>
      </c>
      <c r="D168" s="67">
        <v>1964</v>
      </c>
      <c r="E168" s="67">
        <v>898412</v>
      </c>
      <c r="F168" s="67">
        <v>421551</v>
      </c>
      <c r="G168" s="9">
        <v>110</v>
      </c>
      <c r="H168" s="67">
        <v>1320073</v>
      </c>
      <c r="I168" s="72">
        <v>764631</v>
      </c>
    </row>
    <row r="169" spans="2:11" x14ac:dyDescent="0.25">
      <c r="B169" s="58">
        <v>43952</v>
      </c>
      <c r="C169" s="67">
        <v>1039754</v>
      </c>
      <c r="D169" s="67">
        <v>1966</v>
      </c>
      <c r="E169" s="67">
        <v>1041720</v>
      </c>
      <c r="F169" s="67">
        <v>433868</v>
      </c>
      <c r="G169" s="9">
        <v>85</v>
      </c>
      <c r="H169" s="67">
        <v>1476780</v>
      </c>
      <c r="I169" s="72">
        <v>855183</v>
      </c>
    </row>
    <row r="170" spans="2:11" x14ac:dyDescent="0.25">
      <c r="B170" s="58">
        <v>43983</v>
      </c>
      <c r="C170" s="67">
        <v>1097758</v>
      </c>
      <c r="D170" s="67">
        <v>1963</v>
      </c>
      <c r="E170" s="67">
        <v>1099721</v>
      </c>
      <c r="F170" s="67">
        <v>419795</v>
      </c>
      <c r="G170" s="9">
        <v>119</v>
      </c>
      <c r="H170" s="67">
        <v>1519635</v>
      </c>
      <c r="I170" s="72">
        <v>887434</v>
      </c>
    </row>
    <row r="171" spans="2:11" x14ac:dyDescent="0.25">
      <c r="B171" s="58">
        <v>44013</v>
      </c>
      <c r="C171" s="67">
        <v>1033624</v>
      </c>
      <c r="D171" s="67">
        <v>2039</v>
      </c>
      <c r="E171" s="67">
        <v>1035663</v>
      </c>
      <c r="F171" s="67">
        <v>418356</v>
      </c>
      <c r="G171" s="9">
        <v>84</v>
      </c>
      <c r="H171" s="67">
        <v>1454104</v>
      </c>
      <c r="I171" s="72">
        <v>839494</v>
      </c>
    </row>
    <row r="172" spans="2:11" x14ac:dyDescent="0.25">
      <c r="B172" s="58">
        <v>44044</v>
      </c>
      <c r="C172" s="67">
        <v>1030279</v>
      </c>
      <c r="D172" s="67">
        <v>2057</v>
      </c>
      <c r="E172" s="67">
        <v>1032336</v>
      </c>
      <c r="F172" s="67">
        <v>431065</v>
      </c>
      <c r="G172" s="9">
        <v>66</v>
      </c>
      <c r="H172" s="67">
        <v>1463466</v>
      </c>
      <c r="I172" s="72">
        <v>804926</v>
      </c>
    </row>
    <row r="173" spans="2:11" x14ac:dyDescent="0.25">
      <c r="B173" s="58">
        <v>44075</v>
      </c>
      <c r="C173" s="67">
        <v>986082</v>
      </c>
      <c r="D173" s="67">
        <v>2046</v>
      </c>
      <c r="E173" s="67">
        <v>988127</v>
      </c>
      <c r="F173" s="67">
        <v>414445</v>
      </c>
      <c r="G173" s="9">
        <v>402</v>
      </c>
      <c r="H173" s="67">
        <v>1402975</v>
      </c>
      <c r="I173" s="72">
        <v>751260</v>
      </c>
    </row>
    <row r="174" spans="2:11" x14ac:dyDescent="0.25">
      <c r="B174" s="58">
        <v>44105</v>
      </c>
      <c r="C174" s="67">
        <v>945817</v>
      </c>
      <c r="D174" s="67">
        <v>2058</v>
      </c>
      <c r="E174" s="67">
        <v>947875</v>
      </c>
      <c r="F174" s="67">
        <v>461436</v>
      </c>
      <c r="G174" s="9">
        <v>65</v>
      </c>
      <c r="H174" s="67">
        <v>1409376</v>
      </c>
      <c r="I174" s="72">
        <v>750198</v>
      </c>
    </row>
    <row r="175" spans="2:11" x14ac:dyDescent="0.25">
      <c r="B175" s="58">
        <v>44136</v>
      </c>
      <c r="C175" s="67">
        <v>937929</v>
      </c>
      <c r="D175" s="67">
        <v>2108</v>
      </c>
      <c r="E175" s="67">
        <v>940037</v>
      </c>
      <c r="F175" s="67">
        <v>479360</v>
      </c>
      <c r="G175" s="9">
        <v>56</v>
      </c>
      <c r="H175" s="67">
        <v>1419453</v>
      </c>
      <c r="I175" s="72">
        <v>732809</v>
      </c>
    </row>
    <row r="176" spans="2:11" x14ac:dyDescent="0.25">
      <c r="B176" s="58">
        <v>44166</v>
      </c>
      <c r="C176" s="67">
        <v>927442</v>
      </c>
      <c r="D176" s="67">
        <v>2106</v>
      </c>
      <c r="E176" s="67">
        <v>929545</v>
      </c>
      <c r="F176" s="67">
        <v>512517</v>
      </c>
      <c r="G176" s="9">
        <v>881</v>
      </c>
      <c r="H176" s="67">
        <v>1442947</v>
      </c>
      <c r="I176" s="72">
        <v>748602</v>
      </c>
    </row>
    <row r="177" spans="2:9" x14ac:dyDescent="0.25">
      <c r="B177" s="58">
        <v>44197</v>
      </c>
      <c r="C177" s="67">
        <v>909624</v>
      </c>
      <c r="D177" s="67">
        <v>2252</v>
      </c>
      <c r="E177" s="67">
        <v>911876</v>
      </c>
      <c r="F177" s="67">
        <v>537245</v>
      </c>
      <c r="G177" s="9">
        <v>242</v>
      </c>
      <c r="H177" s="67">
        <v>1449363</v>
      </c>
      <c r="I177" s="72">
        <v>753438</v>
      </c>
    </row>
    <row r="178" spans="2:9" x14ac:dyDescent="0.25">
      <c r="B178" s="58">
        <v>44228</v>
      </c>
      <c r="C178" s="67">
        <v>892240</v>
      </c>
      <c r="D178" s="67">
        <v>2246</v>
      </c>
      <c r="E178" s="67">
        <v>894486</v>
      </c>
      <c r="F178" s="67">
        <v>553047</v>
      </c>
      <c r="G178" s="9">
        <v>85</v>
      </c>
      <c r="H178" s="67">
        <v>1447618</v>
      </c>
      <c r="I178" s="72">
        <v>718473</v>
      </c>
    </row>
    <row r="179" spans="2:9" x14ac:dyDescent="0.25">
      <c r="B179" s="58">
        <v>44256</v>
      </c>
      <c r="C179" s="67">
        <v>882726</v>
      </c>
      <c r="D179" s="67">
        <v>2205</v>
      </c>
      <c r="E179" s="67">
        <v>884931</v>
      </c>
      <c r="F179" s="67">
        <v>559497</v>
      </c>
      <c r="G179" s="9">
        <v>62</v>
      </c>
      <c r="H179" s="67">
        <v>1444490</v>
      </c>
      <c r="I179" s="72">
        <v>693232</v>
      </c>
    </row>
    <row r="180" spans="2:9" x14ac:dyDescent="0.25">
      <c r="B180" s="58">
        <v>44287</v>
      </c>
      <c r="C180" s="67">
        <v>879858</v>
      </c>
      <c r="D180" s="67">
        <v>2200</v>
      </c>
      <c r="E180" s="67">
        <v>882058</v>
      </c>
      <c r="F180" s="67">
        <v>545891</v>
      </c>
      <c r="G180" s="9">
        <v>84</v>
      </c>
      <c r="H180" s="67">
        <v>1428033</v>
      </c>
      <c r="I180" s="72">
        <v>648885</v>
      </c>
    </row>
    <row r="181" spans="2:9" x14ac:dyDescent="0.25">
      <c r="B181" s="58">
        <v>44317</v>
      </c>
      <c r="C181" s="67">
        <v>880715</v>
      </c>
      <c r="D181" s="67">
        <v>2208</v>
      </c>
      <c r="E181" s="67">
        <v>882923</v>
      </c>
      <c r="F181" s="67">
        <v>524380</v>
      </c>
      <c r="G181" s="9">
        <v>81</v>
      </c>
      <c r="H181" s="67">
        <v>1407384</v>
      </c>
      <c r="I181" s="72">
        <v>615406</v>
      </c>
    </row>
    <row r="182" spans="2:9" x14ac:dyDescent="0.25">
      <c r="B182" s="58">
        <v>44348</v>
      </c>
      <c r="C182" s="67">
        <v>1098287</v>
      </c>
      <c r="D182" s="67">
        <v>2205</v>
      </c>
      <c r="E182" s="67">
        <v>1100491</v>
      </c>
      <c r="F182" s="67">
        <v>515950</v>
      </c>
      <c r="G182" s="9">
        <v>67</v>
      </c>
      <c r="H182" s="67">
        <v>1616509</v>
      </c>
      <c r="I182" s="72">
        <v>785986</v>
      </c>
    </row>
    <row r="183" spans="2:9" x14ac:dyDescent="0.25">
      <c r="B183" s="58">
        <v>44378</v>
      </c>
      <c r="C183" s="67">
        <v>1081471</v>
      </c>
      <c r="D183" s="67">
        <v>2204</v>
      </c>
      <c r="E183" s="67">
        <v>1083676</v>
      </c>
      <c r="F183" s="67">
        <v>493585</v>
      </c>
      <c r="G183" s="9">
        <v>94</v>
      </c>
      <c r="H183" s="67">
        <v>1577354</v>
      </c>
      <c r="I183" s="72">
        <v>753443</v>
      </c>
    </row>
    <row r="184" spans="2:9" x14ac:dyDescent="0.25">
      <c r="B184" s="58">
        <v>44409</v>
      </c>
      <c r="C184" s="67">
        <v>1040532</v>
      </c>
      <c r="D184" s="67">
        <v>2222</v>
      </c>
      <c r="E184" s="67">
        <v>1042753</v>
      </c>
      <c r="F184" s="67">
        <v>506518</v>
      </c>
      <c r="G184" s="9">
        <v>632</v>
      </c>
      <c r="H184" s="67">
        <v>1549903</v>
      </c>
      <c r="I184" s="72">
        <v>708318</v>
      </c>
    </row>
    <row r="185" spans="2:9" x14ac:dyDescent="0.25">
      <c r="B185" s="58">
        <v>44440</v>
      </c>
      <c r="C185" s="67">
        <v>1100336</v>
      </c>
      <c r="D185" s="67">
        <v>2211</v>
      </c>
      <c r="E185" s="67">
        <v>1102546</v>
      </c>
      <c r="F185" s="67">
        <v>492433</v>
      </c>
      <c r="G185" s="9">
        <v>418</v>
      </c>
      <c r="H185" s="67">
        <v>1595397</v>
      </c>
      <c r="I185" s="72">
        <v>664073</v>
      </c>
    </row>
    <row r="186" spans="2:9" x14ac:dyDescent="0.25">
      <c r="B186" s="58">
        <v>44470</v>
      </c>
      <c r="C186" s="67">
        <v>1073932</v>
      </c>
      <c r="D186" s="67">
        <v>2234</v>
      </c>
      <c r="E186" s="67">
        <v>1076166</v>
      </c>
      <c r="F186" s="67">
        <v>509261</v>
      </c>
      <c r="G186" s="9">
        <v>202</v>
      </c>
      <c r="H186" s="67">
        <v>1585629</v>
      </c>
      <c r="I186" s="72">
        <v>633206</v>
      </c>
    </row>
    <row r="187" spans="2:9" x14ac:dyDescent="0.25">
      <c r="B187" s="58">
        <v>44501</v>
      </c>
      <c r="C187" s="67">
        <v>1053212</v>
      </c>
      <c r="D187" s="67">
        <v>2236</v>
      </c>
      <c r="E187" s="67">
        <v>1055448</v>
      </c>
      <c r="F187" s="67">
        <v>472090</v>
      </c>
      <c r="G187" s="9">
        <v>317</v>
      </c>
      <c r="H187" s="67">
        <v>1527856</v>
      </c>
      <c r="I187" s="72">
        <v>583588</v>
      </c>
    </row>
    <row r="188" spans="2:9" x14ac:dyDescent="0.25">
      <c r="B188" s="58">
        <v>44531</v>
      </c>
      <c r="C188" s="67">
        <v>1071610</v>
      </c>
      <c r="D188" s="67">
        <v>2247</v>
      </c>
      <c r="E188" s="67">
        <v>1073857</v>
      </c>
      <c r="F188" s="67">
        <v>532699</v>
      </c>
      <c r="G188" s="9">
        <v>398</v>
      </c>
      <c r="H188" s="67">
        <v>1606954</v>
      </c>
      <c r="I188" s="72">
        <v>592331</v>
      </c>
    </row>
    <row r="189" spans="2:9" x14ac:dyDescent="0.25">
      <c r="B189" s="58">
        <v>44562</v>
      </c>
      <c r="C189" s="67">
        <v>1009992</v>
      </c>
      <c r="D189" s="67">
        <v>2245</v>
      </c>
      <c r="E189" s="67">
        <v>1012237</v>
      </c>
      <c r="F189" s="67">
        <v>474732</v>
      </c>
      <c r="G189" s="9">
        <v>260</v>
      </c>
      <c r="H189" s="67">
        <v>1487229</v>
      </c>
      <c r="I189" s="72">
        <v>488037</v>
      </c>
    </row>
    <row r="190" spans="2:9" x14ac:dyDescent="0.25">
      <c r="B190" s="58">
        <v>44593</v>
      </c>
      <c r="C190" s="67">
        <v>984530</v>
      </c>
      <c r="D190" s="67">
        <v>2255</v>
      </c>
      <c r="E190" s="67">
        <v>986785</v>
      </c>
      <c r="F190" s="67">
        <v>502091</v>
      </c>
      <c r="G190" s="9">
        <v>934</v>
      </c>
      <c r="H190" s="67">
        <v>1489810</v>
      </c>
      <c r="I190" s="72">
        <v>473611</v>
      </c>
    </row>
    <row r="191" spans="2:9" x14ac:dyDescent="0.25">
      <c r="B191" s="58">
        <v>44621</v>
      </c>
      <c r="C191" s="67">
        <v>967104</v>
      </c>
      <c r="D191" s="67">
        <v>2256</v>
      </c>
      <c r="E191" s="67">
        <v>969360</v>
      </c>
      <c r="F191" s="67">
        <v>477939</v>
      </c>
      <c r="G191" s="9">
        <v>65</v>
      </c>
      <c r="H191" s="67">
        <v>1447364</v>
      </c>
      <c r="I191" s="72">
        <v>430356</v>
      </c>
    </row>
    <row r="192" spans="2:9" x14ac:dyDescent="0.25">
      <c r="B192" s="58">
        <v>44652</v>
      </c>
      <c r="C192" s="67">
        <v>1043528</v>
      </c>
      <c r="D192" s="67">
        <v>2206</v>
      </c>
      <c r="E192" s="67">
        <v>1045734</v>
      </c>
      <c r="F192" s="67">
        <v>482179</v>
      </c>
      <c r="G192" s="9">
        <v>90</v>
      </c>
      <c r="H192" s="67">
        <v>1528002</v>
      </c>
      <c r="I192" s="72">
        <v>512120</v>
      </c>
    </row>
    <row r="193" spans="2:9" x14ac:dyDescent="0.25">
      <c r="B193" s="58">
        <v>44682</v>
      </c>
      <c r="C193" s="67">
        <v>1023686</v>
      </c>
      <c r="D193" s="67">
        <v>2238</v>
      </c>
      <c r="E193" s="67">
        <v>1025924</v>
      </c>
      <c r="F193" s="67">
        <v>458557</v>
      </c>
      <c r="G193" s="9">
        <v>338</v>
      </c>
      <c r="H193" s="67">
        <v>1484820</v>
      </c>
      <c r="I193" s="72">
        <v>471968</v>
      </c>
    </row>
    <row r="194" spans="2:9" x14ac:dyDescent="0.25">
      <c r="B194" s="58">
        <v>44713</v>
      </c>
      <c r="C194" s="67">
        <v>1005307</v>
      </c>
      <c r="D194" s="67">
        <v>2223</v>
      </c>
      <c r="E194" s="67">
        <v>1007530</v>
      </c>
      <c r="F194" s="67">
        <v>481420</v>
      </c>
      <c r="G194" s="9">
        <v>580</v>
      </c>
      <c r="H194" s="67">
        <v>1489530</v>
      </c>
      <c r="I194" s="72">
        <v>459053</v>
      </c>
    </row>
    <row r="195" spans="2:9" x14ac:dyDescent="0.25">
      <c r="B195" s="58">
        <v>44743</v>
      </c>
      <c r="C195" s="67">
        <v>981216</v>
      </c>
      <c r="D195" s="67">
        <v>2221</v>
      </c>
      <c r="E195" s="67">
        <v>983437</v>
      </c>
      <c r="F195" s="67">
        <v>469811</v>
      </c>
      <c r="G195" s="9">
        <v>124</v>
      </c>
      <c r="H195" s="67">
        <v>1453372</v>
      </c>
      <c r="I195" s="72">
        <v>402188</v>
      </c>
    </row>
    <row r="196" spans="2:9" x14ac:dyDescent="0.25">
      <c r="B196" s="58">
        <v>44774</v>
      </c>
      <c r="C196" s="67">
        <v>944104</v>
      </c>
      <c r="D196" s="67">
        <v>2220</v>
      </c>
      <c r="E196" s="67">
        <v>946324</v>
      </c>
      <c r="F196" s="67">
        <v>462657</v>
      </c>
      <c r="G196" s="9">
        <v>100</v>
      </c>
      <c r="H196" s="67">
        <v>1409080</v>
      </c>
      <c r="I196" s="72">
        <v>337899</v>
      </c>
    </row>
    <row r="197" spans="2:9" x14ac:dyDescent="0.25">
      <c r="B197" s="58">
        <v>44805</v>
      </c>
      <c r="C197" s="67">
        <v>940003</v>
      </c>
      <c r="D197" s="67">
        <v>2197</v>
      </c>
      <c r="E197" s="67">
        <v>942201</v>
      </c>
      <c r="F197" s="67">
        <v>428583</v>
      </c>
      <c r="G197" s="9">
        <v>303</v>
      </c>
      <c r="H197" s="67">
        <v>1371087</v>
      </c>
      <c r="I197" s="72">
        <v>296749</v>
      </c>
    </row>
    <row r="198" spans="2:9" x14ac:dyDescent="0.25">
      <c r="B198" s="58">
        <v>44835</v>
      </c>
      <c r="C198" s="67">
        <v>939566</v>
      </c>
      <c r="D198" s="67">
        <v>2213</v>
      </c>
      <c r="E198" s="67">
        <v>941779</v>
      </c>
      <c r="F198" s="67">
        <v>441858</v>
      </c>
      <c r="G198" s="9">
        <v>178</v>
      </c>
      <c r="H198" s="67">
        <v>1383815</v>
      </c>
      <c r="I198" s="72">
        <v>311001</v>
      </c>
    </row>
    <row r="199" spans="2:9" x14ac:dyDescent="0.25">
      <c r="B199" s="58">
        <v>44866</v>
      </c>
      <c r="C199" s="67">
        <v>917618</v>
      </c>
      <c r="D199" s="67">
        <v>2284</v>
      </c>
      <c r="E199" s="67">
        <v>919902</v>
      </c>
      <c r="F199" s="67">
        <v>472542</v>
      </c>
      <c r="G199" s="9">
        <v>126</v>
      </c>
      <c r="H199" s="67">
        <v>1392570</v>
      </c>
      <c r="I199" s="72">
        <v>278293</v>
      </c>
    </row>
    <row r="200" spans="2:9" x14ac:dyDescent="0.25">
      <c r="B200" s="58">
        <v>44896</v>
      </c>
      <c r="C200" s="67">
        <v>984060</v>
      </c>
      <c r="D200" s="67">
        <v>2327</v>
      </c>
      <c r="E200" s="67">
        <v>986387</v>
      </c>
      <c r="F200" s="67">
        <v>507708</v>
      </c>
      <c r="G200" s="9">
        <v>111</v>
      </c>
      <c r="H200" s="67">
        <v>1494206</v>
      </c>
      <c r="I200" s="72">
        <v>285350</v>
      </c>
    </row>
    <row r="201" spans="2:9" x14ac:dyDescent="0.25">
      <c r="B201" s="58">
        <v>44927</v>
      </c>
      <c r="C201" s="67">
        <v>931499</v>
      </c>
      <c r="D201" s="67">
        <v>2376</v>
      </c>
      <c r="E201" s="67">
        <v>933875</v>
      </c>
      <c r="F201" s="67">
        <v>487917</v>
      </c>
      <c r="G201" s="9">
        <v>362</v>
      </c>
      <c r="H201" s="67">
        <v>1422153</v>
      </c>
      <c r="I201" s="72">
        <v>247454</v>
      </c>
    </row>
    <row r="202" spans="2:9" x14ac:dyDescent="0.25">
      <c r="B202" s="58">
        <v>44958</v>
      </c>
      <c r="C202" s="67">
        <v>911017</v>
      </c>
      <c r="D202" s="67">
        <v>2385</v>
      </c>
      <c r="E202" s="67">
        <v>913402</v>
      </c>
      <c r="F202" s="67">
        <v>521306</v>
      </c>
      <c r="G202" s="9">
        <v>107</v>
      </c>
      <c r="H202" s="67">
        <v>1434815</v>
      </c>
      <c r="I202" s="72">
        <v>235002</v>
      </c>
    </row>
    <row r="203" spans="2:9" x14ac:dyDescent="0.25">
      <c r="B203" s="58">
        <v>44986</v>
      </c>
      <c r="C203" s="67">
        <v>921769</v>
      </c>
      <c r="D203" s="67">
        <v>2521</v>
      </c>
      <c r="E203" s="67">
        <v>924290</v>
      </c>
      <c r="F203" s="67">
        <v>613377</v>
      </c>
      <c r="G203" s="9">
        <v>96</v>
      </c>
      <c r="H203" s="67">
        <v>1537753</v>
      </c>
      <c r="I203" s="72">
        <v>311230</v>
      </c>
    </row>
    <row r="204" spans="2:9" x14ac:dyDescent="0.25">
      <c r="B204" s="58">
        <v>45017</v>
      </c>
      <c r="C204" s="67">
        <v>963265</v>
      </c>
      <c r="D204" s="67">
        <v>2594</v>
      </c>
      <c r="E204" s="67">
        <v>965859</v>
      </c>
      <c r="F204" s="67">
        <v>600488</v>
      </c>
      <c r="G204" s="9">
        <v>168</v>
      </c>
      <c r="H204" s="67">
        <v>1566515</v>
      </c>
      <c r="I204" s="72">
        <v>326890</v>
      </c>
    </row>
    <row r="205" spans="2:9" x14ac:dyDescent="0.25">
      <c r="B205" s="58">
        <v>45047</v>
      </c>
      <c r="C205" s="67">
        <v>977742</v>
      </c>
      <c r="D205" s="67">
        <v>2606</v>
      </c>
      <c r="E205" s="67">
        <v>980348</v>
      </c>
      <c r="F205" s="67">
        <v>627000</v>
      </c>
      <c r="G205" s="9">
        <v>221</v>
      </c>
      <c r="H205" s="67">
        <v>1607569</v>
      </c>
      <c r="I205" s="72">
        <v>354713</v>
      </c>
    </row>
    <row r="206" spans="2:9" x14ac:dyDescent="0.25">
      <c r="B206" s="58">
        <v>45078</v>
      </c>
      <c r="C206" s="67">
        <v>1136049</v>
      </c>
      <c r="D206" s="67">
        <v>2652</v>
      </c>
      <c r="E206" s="67">
        <v>1138701</v>
      </c>
      <c r="F206" s="67">
        <v>720723</v>
      </c>
      <c r="G206" s="9">
        <v>236</v>
      </c>
      <c r="H206" s="67">
        <v>1859659</v>
      </c>
      <c r="I206" s="72">
        <v>594125</v>
      </c>
    </row>
    <row r="207" spans="2:9" x14ac:dyDescent="0.25">
      <c r="B207" s="58">
        <v>45108</v>
      </c>
      <c r="C207" s="67">
        <v>1129071</v>
      </c>
      <c r="D207" s="67">
        <v>2714</v>
      </c>
      <c r="E207" s="67">
        <v>1131785</v>
      </c>
      <c r="F207" s="67">
        <v>814743</v>
      </c>
      <c r="G207" s="9">
        <v>250</v>
      </c>
      <c r="H207" s="67">
        <v>1946778</v>
      </c>
      <c r="I207" s="72">
        <v>628959</v>
      </c>
    </row>
    <row r="208" spans="2:9" x14ac:dyDescent="0.25">
      <c r="B208" s="58">
        <v>45139</v>
      </c>
      <c r="C208" s="67">
        <v>1112768</v>
      </c>
      <c r="D208" s="67">
        <v>2745</v>
      </c>
      <c r="E208" s="67">
        <v>1115513</v>
      </c>
      <c r="F208" s="67">
        <v>875971</v>
      </c>
      <c r="G208" s="9">
        <v>221</v>
      </c>
      <c r="H208" s="67">
        <v>1991704</v>
      </c>
      <c r="I208" s="72">
        <v>675250</v>
      </c>
    </row>
    <row r="209" spans="2:9" x14ac:dyDescent="0.25">
      <c r="B209" s="58">
        <v>45170</v>
      </c>
      <c r="C209" s="67">
        <v>1118738</v>
      </c>
      <c r="D209" s="67">
        <v>2760</v>
      </c>
      <c r="E209" s="67">
        <v>1121498</v>
      </c>
      <c r="F209" s="67">
        <v>935472</v>
      </c>
      <c r="G209" s="9">
        <v>684</v>
      </c>
      <c r="H209" s="67">
        <v>2057653</v>
      </c>
      <c r="I209" s="72">
        <v>711269</v>
      </c>
    </row>
    <row r="210" spans="2:9" x14ac:dyDescent="0.25">
      <c r="B210" s="58">
        <v>45200</v>
      </c>
      <c r="C210" s="67">
        <v>1137401</v>
      </c>
      <c r="D210" s="67">
        <v>2803</v>
      </c>
      <c r="E210" s="67">
        <v>1140204</v>
      </c>
      <c r="F210" s="67">
        <v>973984</v>
      </c>
      <c r="G210" s="9">
        <v>607</v>
      </c>
      <c r="H210" s="67">
        <v>2114795</v>
      </c>
      <c r="I210" s="72">
        <v>746556</v>
      </c>
    </row>
    <row r="211" spans="2:9" x14ac:dyDescent="0.25">
      <c r="B211" s="58">
        <v>45231</v>
      </c>
      <c r="C211" s="67">
        <v>1132252</v>
      </c>
      <c r="D211" s="67">
        <v>2898</v>
      </c>
      <c r="E211" s="67">
        <v>1135149</v>
      </c>
      <c r="F211" s="67">
        <v>1043486</v>
      </c>
      <c r="G211" s="9">
        <v>1560</v>
      </c>
      <c r="H211" s="67">
        <v>2180195</v>
      </c>
      <c r="I211" s="72">
        <v>774657</v>
      </c>
    </row>
    <row r="212" spans="2:9" x14ac:dyDescent="0.25">
      <c r="B212" s="58">
        <v>45261</v>
      </c>
      <c r="C212" s="67">
        <v>1143840</v>
      </c>
      <c r="D212" s="67">
        <v>2898</v>
      </c>
      <c r="E212" s="67">
        <v>1146738</v>
      </c>
      <c r="F212" s="67">
        <v>1066127</v>
      </c>
      <c r="G212" s="9">
        <v>658</v>
      </c>
      <c r="H212" s="67">
        <v>2213523</v>
      </c>
      <c r="I212" s="72">
        <v>796474</v>
      </c>
    </row>
    <row r="213" spans="2:9" x14ac:dyDescent="0.25">
      <c r="B213" s="58">
        <v>45292</v>
      </c>
      <c r="C213" s="67">
        <v>1281970</v>
      </c>
      <c r="D213" s="67">
        <v>3033</v>
      </c>
      <c r="E213" s="67">
        <v>1285003</v>
      </c>
      <c r="F213" s="67">
        <v>1145491</v>
      </c>
      <c r="G213" s="9">
        <v>475</v>
      </c>
      <c r="H213" s="67">
        <v>2430969</v>
      </c>
      <c r="I213" s="72">
        <v>857822</v>
      </c>
    </row>
    <row r="214" spans="2:9" x14ac:dyDescent="0.25">
      <c r="B214" s="58">
        <v>45323</v>
      </c>
      <c r="C214" s="67">
        <v>1196367</v>
      </c>
      <c r="D214" s="67">
        <v>2714</v>
      </c>
      <c r="E214" s="67">
        <v>1199081</v>
      </c>
      <c r="F214" s="67">
        <v>1191317</v>
      </c>
      <c r="G214" s="67">
        <v>852</v>
      </c>
      <c r="H214" s="67">
        <v>2391249</v>
      </c>
      <c r="I214" s="72">
        <v>886139</v>
      </c>
    </row>
    <row r="215" spans="2:9" x14ac:dyDescent="0.25">
      <c r="B215" s="58">
        <v>45352</v>
      </c>
      <c r="C215" s="67">
        <v>1038582</v>
      </c>
      <c r="D215" s="67">
        <v>2483</v>
      </c>
      <c r="E215" s="67">
        <v>1041065</v>
      </c>
      <c r="F215" s="67">
        <v>990506</v>
      </c>
      <c r="G215" s="67">
        <v>192</v>
      </c>
      <c r="H215" s="67">
        <v>2031764</v>
      </c>
      <c r="I215" s="72">
        <v>751958</v>
      </c>
    </row>
    <row r="216" spans="2:9" x14ac:dyDescent="0.25">
      <c r="B216" s="58">
        <v>45383</v>
      </c>
      <c r="C216" s="67">
        <v>1044816</v>
      </c>
      <c r="D216" s="67">
        <v>2490</v>
      </c>
      <c r="E216" s="67">
        <v>1047306</v>
      </c>
      <c r="F216" s="67">
        <v>1048512</v>
      </c>
      <c r="G216" s="67">
        <v>680</v>
      </c>
      <c r="H216" s="67">
        <v>2096498</v>
      </c>
      <c r="I216" s="72">
        <v>824171</v>
      </c>
    </row>
    <row r="217" spans="2:9" x14ac:dyDescent="0.25">
      <c r="B217" s="58">
        <v>45413</v>
      </c>
      <c r="C217" s="67">
        <v>1002599</v>
      </c>
      <c r="D217" s="67">
        <v>2448</v>
      </c>
      <c r="E217" s="67">
        <v>1005047</v>
      </c>
      <c r="F217" s="67">
        <v>1010842</v>
      </c>
      <c r="G217" s="67">
        <v>455</v>
      </c>
      <c r="H217" s="67">
        <v>2016343</v>
      </c>
      <c r="I217" s="72">
        <v>782330</v>
      </c>
    </row>
    <row r="218" spans="2:9" x14ac:dyDescent="0.25">
      <c r="B218" s="58">
        <v>45444</v>
      </c>
      <c r="C218" s="67">
        <v>1102363</v>
      </c>
      <c r="D218" s="67">
        <v>2420</v>
      </c>
      <c r="E218" s="67">
        <v>1104783</v>
      </c>
      <c r="F218" s="67">
        <v>1033014</v>
      </c>
      <c r="G218" s="67">
        <v>391</v>
      </c>
      <c r="H218" s="67">
        <v>2138188</v>
      </c>
      <c r="I218" s="72">
        <v>908300</v>
      </c>
    </row>
    <row r="219" spans="2:9" x14ac:dyDescent="0.25">
      <c r="B219" s="58">
        <v>45474</v>
      </c>
      <c r="C219" s="67">
        <v>1071789</v>
      </c>
      <c r="D219" s="67">
        <v>2451</v>
      </c>
      <c r="E219" s="67">
        <v>1074241</v>
      </c>
      <c r="F219" s="67">
        <v>1108492</v>
      </c>
      <c r="G219" s="67">
        <v>659</v>
      </c>
      <c r="H219" s="67">
        <v>2183391</v>
      </c>
      <c r="I219" s="72">
        <v>924716</v>
      </c>
    </row>
    <row r="220" spans="2:9" x14ac:dyDescent="0.25">
      <c r="B220" s="58">
        <v>45505</v>
      </c>
      <c r="C220" s="67">
        <v>1029734</v>
      </c>
      <c r="D220" s="67">
        <v>2470</v>
      </c>
      <c r="E220" s="67">
        <v>1032203</v>
      </c>
      <c r="F220" s="67">
        <v>1044877</v>
      </c>
      <c r="G220" s="67">
        <v>654</v>
      </c>
      <c r="H220" s="67">
        <v>2077735</v>
      </c>
      <c r="I220" s="72">
        <v>884167</v>
      </c>
    </row>
    <row r="221" spans="2:9" x14ac:dyDescent="0.25">
      <c r="B221" s="58">
        <v>45536</v>
      </c>
      <c r="C221" s="67">
        <v>1115128</v>
      </c>
      <c r="D221" s="67">
        <v>2489</v>
      </c>
      <c r="E221" s="67">
        <v>1117616</v>
      </c>
      <c r="F221" s="67">
        <v>1006281</v>
      </c>
      <c r="G221" s="67">
        <v>837</v>
      </c>
      <c r="H221" s="67">
        <v>2124734</v>
      </c>
      <c r="I221" s="72">
        <v>895764</v>
      </c>
    </row>
    <row r="222" spans="2:9" x14ac:dyDescent="0.25">
      <c r="B222" s="58">
        <v>45566</v>
      </c>
      <c r="C222" s="119">
        <v>1201194</v>
      </c>
      <c r="D222" s="119">
        <v>2444</v>
      </c>
      <c r="E222" s="119">
        <v>1203638</v>
      </c>
      <c r="F222" s="119">
        <v>886128</v>
      </c>
      <c r="G222" s="2">
        <v>497</v>
      </c>
      <c r="H222" s="119">
        <v>2090263</v>
      </c>
      <c r="I222" s="72">
        <v>880080</v>
      </c>
    </row>
    <row r="223" spans="2:9" x14ac:dyDescent="0.25">
      <c r="B223" s="58">
        <v>45597</v>
      </c>
      <c r="C223" s="119">
        <v>1255350</v>
      </c>
      <c r="D223" s="119">
        <v>2422</v>
      </c>
      <c r="E223" s="119">
        <v>1257772</v>
      </c>
      <c r="F223" s="119">
        <v>873248</v>
      </c>
      <c r="G223" s="2">
        <v>344</v>
      </c>
      <c r="H223" s="119">
        <v>2131364</v>
      </c>
      <c r="I223" s="72">
        <v>856567</v>
      </c>
    </row>
    <row r="224" spans="2:9" x14ac:dyDescent="0.25">
      <c r="B224" s="58">
        <v>45627</v>
      </c>
      <c r="C224" s="119">
        <v>1324858</v>
      </c>
      <c r="D224" s="119">
        <v>2422</v>
      </c>
      <c r="E224" s="119">
        <v>1327280</v>
      </c>
      <c r="F224" s="119">
        <v>809100</v>
      </c>
      <c r="G224" s="2">
        <v>261</v>
      </c>
      <c r="H224" s="119">
        <v>2136642</v>
      </c>
      <c r="I224" s="72">
        <v>844107</v>
      </c>
    </row>
    <row r="225" spans="2:9" x14ac:dyDescent="0.25">
      <c r="B225" s="58">
        <v>45658</v>
      </c>
      <c r="C225" s="119">
        <v>1252113</v>
      </c>
      <c r="D225" s="119">
        <v>2397</v>
      </c>
      <c r="E225" s="119">
        <v>1254509</v>
      </c>
      <c r="F225" s="119">
        <v>790477</v>
      </c>
      <c r="G225" s="2">
        <v>137</v>
      </c>
      <c r="H225" s="119">
        <v>2045124</v>
      </c>
      <c r="I225" s="123">
        <v>820276</v>
      </c>
    </row>
    <row r="226" spans="2:9" x14ac:dyDescent="0.25">
      <c r="B226" s="58">
        <v>45689</v>
      </c>
      <c r="C226" s="119">
        <v>1255229</v>
      </c>
      <c r="D226" s="119">
        <v>2406</v>
      </c>
      <c r="E226" s="119">
        <v>1257634</v>
      </c>
      <c r="F226" s="119">
        <v>777718</v>
      </c>
      <c r="G226" s="2">
        <v>557</v>
      </c>
      <c r="H226" s="119">
        <v>2035909</v>
      </c>
      <c r="I226" s="123">
        <v>817997</v>
      </c>
    </row>
    <row r="227" spans="2:9" x14ac:dyDescent="0.25">
      <c r="B227" s="58">
        <v>45717</v>
      </c>
      <c r="C227" s="119">
        <v>1383869</v>
      </c>
      <c r="D227" s="119">
        <v>2406</v>
      </c>
      <c r="E227" s="119">
        <v>1386275</v>
      </c>
      <c r="F227" s="119">
        <v>782106</v>
      </c>
      <c r="G227" s="2">
        <v>436</v>
      </c>
      <c r="H227" s="119">
        <v>2168818</v>
      </c>
      <c r="I227" s="123">
        <v>959497</v>
      </c>
    </row>
    <row r="228" spans="2:9" x14ac:dyDescent="0.25">
      <c r="B228" s="58">
        <v>45748</v>
      </c>
      <c r="C228" s="119">
        <v>1384959</v>
      </c>
      <c r="D228" s="119">
        <v>2406</v>
      </c>
      <c r="E228" s="119">
        <v>1387365</v>
      </c>
      <c r="F228" s="119">
        <v>746683</v>
      </c>
      <c r="G228" s="2">
        <v>133</v>
      </c>
      <c r="H228" s="119">
        <v>2134181</v>
      </c>
      <c r="I228" s="123">
        <v>920160</v>
      </c>
    </row>
    <row r="229" spans="2:9" x14ac:dyDescent="0.25">
      <c r="B229" s="58">
        <v>45778</v>
      </c>
      <c r="C229" s="119">
        <v>1458401</v>
      </c>
      <c r="D229" s="119">
        <v>2492</v>
      </c>
      <c r="E229" s="119">
        <v>1460894</v>
      </c>
      <c r="F229" s="119">
        <v>730793</v>
      </c>
      <c r="G229" s="2">
        <v>303</v>
      </c>
      <c r="H229" s="119">
        <v>2191990</v>
      </c>
      <c r="I229" s="123">
        <v>997144</v>
      </c>
    </row>
    <row r="230" spans="2:9" x14ac:dyDescent="0.25">
      <c r="B230" s="58">
        <v>45809</v>
      </c>
      <c r="C230" s="119">
        <v>1528922</v>
      </c>
      <c r="D230" s="119">
        <v>2519</v>
      </c>
      <c r="E230" s="119">
        <v>1531440</v>
      </c>
      <c r="F230" s="119">
        <v>760595</v>
      </c>
      <c r="G230" s="2">
        <v>409</v>
      </c>
      <c r="H230" s="119">
        <v>2292444</v>
      </c>
      <c r="I230" s="123">
        <v>1068830</v>
      </c>
    </row>
    <row r="231" spans="2:9" x14ac:dyDescent="0.25">
      <c r="B231" s="58">
        <v>45839</v>
      </c>
      <c r="C231" s="119">
        <v>1517266</v>
      </c>
      <c r="D231" s="119">
        <v>2519</v>
      </c>
      <c r="E231" s="119">
        <v>1519784</v>
      </c>
      <c r="F231" s="119">
        <v>748528</v>
      </c>
      <c r="G231" s="2">
        <v>810</v>
      </c>
      <c r="H231" s="119">
        <v>2269122</v>
      </c>
      <c r="I231" s="123">
        <v>1024602</v>
      </c>
    </row>
    <row r="232" spans="2:9" x14ac:dyDescent="0.25">
      <c r="B232" s="58">
        <v>45870</v>
      </c>
      <c r="C232" s="119">
        <v>1496238</v>
      </c>
      <c r="D232" s="119">
        <v>2519</v>
      </c>
      <c r="E232" s="119">
        <v>1498757</v>
      </c>
      <c r="F232" s="119">
        <v>766134</v>
      </c>
      <c r="G232" s="2">
        <v>1047</v>
      </c>
      <c r="H232" s="119">
        <v>2265937</v>
      </c>
      <c r="I232" s="123">
        <v>1048890</v>
      </c>
    </row>
    <row r="233" spans="2:9" x14ac:dyDescent="0.25">
      <c r="B233" s="58">
        <v>45901</v>
      </c>
      <c r="C233" s="119">
        <v>1471551</v>
      </c>
      <c r="D233" s="119">
        <v>2519</v>
      </c>
      <c r="E233" s="119">
        <v>1474069</v>
      </c>
      <c r="F233" s="119">
        <v>711944</v>
      </c>
      <c r="G233" s="2">
        <v>863</v>
      </c>
      <c r="H233" s="119">
        <v>2186877</v>
      </c>
      <c r="I233" s="123">
        <v>946467</v>
      </c>
    </row>
    <row r="234" spans="2:9" x14ac:dyDescent="0.25">
      <c r="B234" s="58">
        <v>45931</v>
      </c>
      <c r="C234" s="119">
        <v>1582197</v>
      </c>
      <c r="D234" s="119">
        <v>2519</v>
      </c>
      <c r="E234" s="119">
        <v>1584716</v>
      </c>
      <c r="F234" s="119">
        <v>779251</v>
      </c>
      <c r="G234" s="2">
        <v>519</v>
      </c>
      <c r="H234" s="119">
        <v>2364486</v>
      </c>
      <c r="I234" s="123">
        <v>1111270</v>
      </c>
    </row>
    <row r="235" spans="2:9" x14ac:dyDescent="0.25">
      <c r="B235" s="58">
        <v>45962</v>
      </c>
      <c r="C235" s="119">
        <v>1585119</v>
      </c>
      <c r="D235" s="119">
        <v>2519</v>
      </c>
      <c r="E235" s="119">
        <v>1587637</v>
      </c>
      <c r="F235" s="119">
        <v>840890</v>
      </c>
      <c r="G235" s="2">
        <v>801</v>
      </c>
      <c r="H235" s="119">
        <v>2429328</v>
      </c>
      <c r="I235" s="123">
        <v>1203294</v>
      </c>
    </row>
    <row r="236" spans="2:9" x14ac:dyDescent="0.25">
      <c r="B236" s="58">
        <v>45992</v>
      </c>
      <c r="C236" s="119">
        <v>1603428</v>
      </c>
      <c r="D236" s="119">
        <v>2519</v>
      </c>
      <c r="E236" s="119">
        <v>1605946</v>
      </c>
      <c r="F236" s="119">
        <v>801612</v>
      </c>
      <c r="G236" s="2">
        <v>410</v>
      </c>
      <c r="H236" s="119">
        <v>2407968</v>
      </c>
      <c r="I236" s="123">
        <v>1186435</v>
      </c>
    </row>
    <row r="237" spans="2:9" x14ac:dyDescent="0.25">
      <c r="B237" s="58"/>
      <c r="C237" s="119"/>
      <c r="D237" s="119"/>
      <c r="E237" s="119"/>
      <c r="F237" s="119"/>
      <c r="G237" s="2"/>
      <c r="H237" s="119"/>
      <c r="I237" s="123"/>
    </row>
    <row r="238" spans="2:9" x14ac:dyDescent="0.25">
      <c r="B238" s="58"/>
      <c r="C238" s="119"/>
      <c r="D238" s="119"/>
      <c r="E238" s="119"/>
      <c r="F238" s="119"/>
      <c r="G238" s="2"/>
      <c r="H238" s="119"/>
      <c r="I238" s="123"/>
    </row>
    <row r="239" spans="2:9" x14ac:dyDescent="0.25">
      <c r="B239" s="58"/>
      <c r="C239" s="119"/>
      <c r="D239" s="119"/>
      <c r="E239" s="119"/>
      <c r="F239" s="119"/>
      <c r="G239" s="2"/>
      <c r="H239" s="119"/>
      <c r="I239" s="123"/>
    </row>
    <row r="240" spans="2:9" x14ac:dyDescent="0.25">
      <c r="B240" s="58"/>
      <c r="C240" s="119"/>
      <c r="D240" s="119"/>
      <c r="E240" s="119"/>
      <c r="F240" s="119"/>
      <c r="G240" s="2"/>
      <c r="H240" s="119"/>
      <c r="I240" s="123"/>
    </row>
    <row r="241" spans="2:9" x14ac:dyDescent="0.25">
      <c r="B241" s="58"/>
      <c r="C241" s="119"/>
      <c r="D241" s="119"/>
      <c r="E241" s="119"/>
      <c r="F241" s="119"/>
      <c r="G241" s="2"/>
      <c r="H241" s="119"/>
      <c r="I241" s="123"/>
    </row>
    <row r="242" spans="2:9" x14ac:dyDescent="0.25">
      <c r="B242" s="58"/>
      <c r="C242" s="119"/>
      <c r="D242" s="119"/>
      <c r="E242" s="119"/>
      <c r="F242" s="119"/>
      <c r="G242" s="2"/>
      <c r="H242" s="119"/>
      <c r="I242" s="123"/>
    </row>
  </sheetData>
  <mergeCells count="24">
    <mergeCell ref="C3:E3"/>
    <mergeCell ref="D143:E143"/>
    <mergeCell ref="D144:E144"/>
    <mergeCell ref="D145:E145"/>
    <mergeCell ref="D141:E141"/>
    <mergeCell ref="D142:E142"/>
    <mergeCell ref="D149:E149"/>
    <mergeCell ref="D150:E150"/>
    <mergeCell ref="D151:E151"/>
    <mergeCell ref="D146:E146"/>
    <mergeCell ref="D147:E147"/>
    <mergeCell ref="D148:E148"/>
    <mergeCell ref="D154:E154"/>
    <mergeCell ref="D155:E155"/>
    <mergeCell ref="D156:E156"/>
    <mergeCell ref="D152:E152"/>
    <mergeCell ref="D153:E153"/>
    <mergeCell ref="D163:E163"/>
    <mergeCell ref="D160:E160"/>
    <mergeCell ref="D161:E161"/>
    <mergeCell ref="D162:E162"/>
    <mergeCell ref="D157:E157"/>
    <mergeCell ref="D158:E158"/>
    <mergeCell ref="D159:E15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767D-DCCA-4285-A40C-F90EB03792C9}">
  <dimension ref="B1:F243"/>
  <sheetViews>
    <sheetView zoomScaleNormal="100" workbookViewId="0">
      <pane ySplit="3" topLeftCell="A235" activePane="bottomLeft" state="frozen"/>
      <selection pane="bottomLeft" activeCell="B244" sqref="B244"/>
    </sheetView>
  </sheetViews>
  <sheetFormatPr defaultRowHeight="12" customHeight="1" x14ac:dyDescent="0.3"/>
  <cols>
    <col min="1" max="1" width="8.7265625" style="12"/>
    <col min="2" max="2" width="10.90625" style="12" bestFit="1" customWidth="1"/>
    <col min="3" max="3" width="15.6328125" style="12" bestFit="1" customWidth="1"/>
    <col min="4" max="4" width="10.90625" style="12" bestFit="1" customWidth="1"/>
    <col min="5" max="5" width="9.1796875" style="12" bestFit="1" customWidth="1"/>
    <col min="6" max="6" width="14.7265625" style="12" bestFit="1" customWidth="1"/>
    <col min="7" max="7" width="8.7265625" style="12"/>
    <col min="8" max="8" width="7" style="12" bestFit="1" customWidth="1"/>
    <col min="9" max="9" width="17.54296875" style="12" bestFit="1" customWidth="1"/>
    <col min="10" max="10" width="14.54296875" style="12" bestFit="1" customWidth="1"/>
    <col min="11" max="11" width="6.81640625" style="12" bestFit="1" customWidth="1"/>
    <col min="12" max="12" width="18.6328125" style="12" bestFit="1" customWidth="1"/>
    <col min="13" max="16384" width="8.7265625" style="12"/>
  </cols>
  <sheetData>
    <row r="1" spans="2:6" ht="12" customHeight="1" x14ac:dyDescent="0.3">
      <c r="C1" s="88"/>
      <c r="D1" s="89"/>
      <c r="E1" s="89"/>
    </row>
    <row r="2" spans="2:6" ht="12" customHeight="1" x14ac:dyDescent="0.3">
      <c r="C2" s="89"/>
      <c r="D2" s="89"/>
      <c r="E2" s="90"/>
    </row>
    <row r="3" spans="2:6" ht="12" customHeight="1" x14ac:dyDescent="0.3">
      <c r="B3" s="155" t="s">
        <v>43</v>
      </c>
      <c r="C3" s="156" t="s">
        <v>164</v>
      </c>
      <c r="D3" s="157" t="s">
        <v>165</v>
      </c>
      <c r="E3" s="158" t="s">
        <v>166</v>
      </c>
      <c r="F3" s="159" t="s">
        <v>159</v>
      </c>
    </row>
    <row r="4" spans="2:6" ht="12" customHeight="1" x14ac:dyDescent="0.3">
      <c r="B4" s="81">
        <v>38718</v>
      </c>
      <c r="C4" s="82">
        <v>5023</v>
      </c>
      <c r="D4" s="85">
        <v>2.97</v>
      </c>
      <c r="E4" s="86">
        <v>214.24</v>
      </c>
      <c r="F4" s="12">
        <f>E4</f>
        <v>214.24</v>
      </c>
    </row>
    <row r="5" spans="2:6" ht="12" customHeight="1" x14ac:dyDescent="0.3">
      <c r="B5" s="81">
        <v>38749</v>
      </c>
      <c r="C5" s="82">
        <v>5025</v>
      </c>
      <c r="D5" s="85">
        <v>2.9</v>
      </c>
      <c r="E5" s="86">
        <v>208.59</v>
      </c>
      <c r="F5" s="12">
        <f>E5</f>
        <v>208.59</v>
      </c>
    </row>
    <row r="6" spans="2:6" ht="12" customHeight="1" x14ac:dyDescent="0.3">
      <c r="B6" s="81">
        <v>38777</v>
      </c>
      <c r="C6" s="82">
        <v>7558</v>
      </c>
      <c r="D6" s="85">
        <v>3.15</v>
      </c>
      <c r="E6" s="86">
        <v>227.53</v>
      </c>
      <c r="F6" s="12">
        <f>E6</f>
        <v>227.53</v>
      </c>
    </row>
    <row r="7" spans="2:6" ht="12" customHeight="1" x14ac:dyDescent="0.3">
      <c r="B7" s="81">
        <v>38808</v>
      </c>
      <c r="C7" s="82">
        <v>6909</v>
      </c>
      <c r="D7" s="85">
        <v>2.99</v>
      </c>
      <c r="E7" s="86">
        <v>213.66</v>
      </c>
      <c r="F7" s="12">
        <f>IF(E7=0,AVERAGE(E4:E6),E7)</f>
        <v>213.66</v>
      </c>
    </row>
    <row r="8" spans="2:6" ht="12" customHeight="1" x14ac:dyDescent="0.3">
      <c r="B8" s="81">
        <v>38838</v>
      </c>
      <c r="C8" s="82">
        <v>7249</v>
      </c>
      <c r="D8" s="85">
        <v>2.66</v>
      </c>
      <c r="E8" s="86">
        <v>191.04</v>
      </c>
      <c r="F8" s="12">
        <f t="shared" ref="F8:F71" si="0">IF(E8=0,AVERAGE(E5:E7),E8)</f>
        <v>191.04</v>
      </c>
    </row>
    <row r="9" spans="2:6" ht="12" customHeight="1" x14ac:dyDescent="0.3">
      <c r="B9" s="81">
        <v>38869</v>
      </c>
      <c r="C9" s="82">
        <v>3204</v>
      </c>
      <c r="D9" s="85">
        <v>1.81</v>
      </c>
      <c r="E9" s="86">
        <v>132.82</v>
      </c>
      <c r="F9" s="12">
        <f t="shared" si="0"/>
        <v>132.82</v>
      </c>
    </row>
    <row r="10" spans="2:6" ht="12" customHeight="1" x14ac:dyDescent="0.3">
      <c r="B10" s="81">
        <v>38899</v>
      </c>
      <c r="C10" s="82">
        <v>1899</v>
      </c>
      <c r="D10" s="85">
        <v>1.99</v>
      </c>
      <c r="E10" s="86">
        <v>146.66</v>
      </c>
      <c r="F10" s="12">
        <f t="shared" si="0"/>
        <v>146.66</v>
      </c>
    </row>
    <row r="11" spans="2:6" ht="12" customHeight="1" x14ac:dyDescent="0.3">
      <c r="B11" s="81">
        <v>38930</v>
      </c>
      <c r="C11" s="85">
        <v>467</v>
      </c>
      <c r="D11" s="85">
        <v>2.5499999999999998</v>
      </c>
      <c r="E11" s="86">
        <v>187.58</v>
      </c>
      <c r="F11" s="12">
        <f t="shared" si="0"/>
        <v>187.58</v>
      </c>
    </row>
    <row r="12" spans="2:6" ht="12" customHeight="1" x14ac:dyDescent="0.3">
      <c r="B12" s="81">
        <v>38961</v>
      </c>
      <c r="C12" s="82">
        <v>3592</v>
      </c>
      <c r="D12" s="85">
        <v>2.61</v>
      </c>
      <c r="E12" s="86">
        <v>190.12</v>
      </c>
      <c r="F12" s="12">
        <f t="shared" si="0"/>
        <v>190.12</v>
      </c>
    </row>
    <row r="13" spans="2:6" ht="12" customHeight="1" x14ac:dyDescent="0.3">
      <c r="B13" s="81">
        <v>38991</v>
      </c>
      <c r="C13" s="82">
        <v>3891</v>
      </c>
      <c r="D13" s="85">
        <v>2.46</v>
      </c>
      <c r="E13" s="86">
        <v>177.53</v>
      </c>
      <c r="F13" s="12">
        <f t="shared" si="0"/>
        <v>177.53</v>
      </c>
    </row>
    <row r="14" spans="2:6" ht="12" customHeight="1" x14ac:dyDescent="0.3">
      <c r="B14" s="81">
        <v>39022</v>
      </c>
      <c r="C14" s="82">
        <v>4152</v>
      </c>
      <c r="D14" s="85">
        <v>2.86</v>
      </c>
      <c r="E14" s="86">
        <v>203.34</v>
      </c>
      <c r="F14" s="12">
        <f t="shared" si="0"/>
        <v>203.34</v>
      </c>
    </row>
    <row r="15" spans="2:6" ht="12" customHeight="1" x14ac:dyDescent="0.3">
      <c r="B15" s="81">
        <v>39052</v>
      </c>
      <c r="C15" s="82">
        <v>1559</v>
      </c>
      <c r="D15" s="85">
        <v>2.84</v>
      </c>
      <c r="E15" s="86">
        <v>198.22</v>
      </c>
      <c r="F15" s="12">
        <f t="shared" si="0"/>
        <v>198.22</v>
      </c>
    </row>
    <row r="16" spans="2:6" ht="12" customHeight="1" x14ac:dyDescent="0.3">
      <c r="B16" s="81">
        <v>39083</v>
      </c>
      <c r="C16" s="82">
        <v>4670</v>
      </c>
      <c r="D16" s="85">
        <v>2.88</v>
      </c>
      <c r="E16" s="86">
        <v>201.48</v>
      </c>
      <c r="F16" s="12">
        <f t="shared" si="0"/>
        <v>201.48</v>
      </c>
    </row>
    <row r="17" spans="2:6" ht="12" customHeight="1" x14ac:dyDescent="0.3">
      <c r="B17" s="81">
        <v>39114</v>
      </c>
      <c r="C17" s="82">
        <v>5064</v>
      </c>
      <c r="D17" s="85">
        <v>3.03</v>
      </c>
      <c r="E17" s="86">
        <v>211.04</v>
      </c>
      <c r="F17" s="12">
        <f t="shared" si="0"/>
        <v>211.04</v>
      </c>
    </row>
    <row r="18" spans="2:6" ht="12" customHeight="1" x14ac:dyDescent="0.3">
      <c r="B18" s="81">
        <v>39142</v>
      </c>
      <c r="C18" s="82">
        <v>6839</v>
      </c>
      <c r="D18" s="85">
        <v>2.99</v>
      </c>
      <c r="E18" s="86">
        <v>207.62</v>
      </c>
      <c r="F18" s="12">
        <f t="shared" si="0"/>
        <v>207.62</v>
      </c>
    </row>
    <row r="19" spans="2:6" ht="12" customHeight="1" x14ac:dyDescent="0.3">
      <c r="B19" s="81">
        <v>39173</v>
      </c>
      <c r="C19" s="82">
        <v>6324</v>
      </c>
      <c r="D19" s="85">
        <v>2.67</v>
      </c>
      <c r="E19" s="86">
        <v>182.91</v>
      </c>
      <c r="F19" s="12">
        <f t="shared" si="0"/>
        <v>182.91</v>
      </c>
    </row>
    <row r="20" spans="2:6" ht="12" customHeight="1" x14ac:dyDescent="0.3">
      <c r="B20" s="81">
        <v>39203</v>
      </c>
      <c r="C20" s="82">
        <v>6991</v>
      </c>
      <c r="D20" s="85">
        <v>2.4700000000000002</v>
      </c>
      <c r="E20" s="86">
        <v>166.41</v>
      </c>
      <c r="F20" s="12">
        <f t="shared" si="0"/>
        <v>166.41</v>
      </c>
    </row>
    <row r="21" spans="2:6" ht="12" customHeight="1" x14ac:dyDescent="0.3">
      <c r="B21" s="81">
        <v>39234</v>
      </c>
      <c r="C21" s="82">
        <v>5451</v>
      </c>
      <c r="D21" s="85">
        <v>2.1800000000000002</v>
      </c>
      <c r="E21" s="86">
        <v>145.61000000000001</v>
      </c>
      <c r="F21" s="12">
        <f t="shared" si="0"/>
        <v>145.61000000000001</v>
      </c>
    </row>
    <row r="22" spans="2:6" ht="12" customHeight="1" x14ac:dyDescent="0.3">
      <c r="B22" s="81">
        <v>39264</v>
      </c>
      <c r="C22" s="82">
        <v>4669</v>
      </c>
      <c r="D22" s="85">
        <v>2.11</v>
      </c>
      <c r="E22" s="86">
        <v>141.77000000000001</v>
      </c>
      <c r="F22" s="12">
        <f t="shared" si="0"/>
        <v>141.77000000000001</v>
      </c>
    </row>
    <row r="23" spans="2:6" ht="12" customHeight="1" x14ac:dyDescent="0.3">
      <c r="B23" s="81">
        <v>39295</v>
      </c>
      <c r="C23" s="85">
        <v>0</v>
      </c>
      <c r="D23" s="85">
        <v>0</v>
      </c>
      <c r="E23" s="86">
        <v>0</v>
      </c>
      <c r="F23" s="12">
        <f t="shared" si="0"/>
        <v>151.26333333333332</v>
      </c>
    </row>
    <row r="24" spans="2:6" ht="12" customHeight="1" x14ac:dyDescent="0.3">
      <c r="B24" s="81">
        <v>39326</v>
      </c>
      <c r="C24" s="82">
        <v>3817</v>
      </c>
      <c r="D24" s="85">
        <v>2.36</v>
      </c>
      <c r="E24" s="86">
        <v>157.96</v>
      </c>
      <c r="F24" s="12">
        <f t="shared" si="0"/>
        <v>157.96</v>
      </c>
    </row>
    <row r="25" spans="2:6" ht="12" customHeight="1" x14ac:dyDescent="0.3">
      <c r="B25" s="81">
        <v>39356</v>
      </c>
      <c r="C25" s="82">
        <v>4252</v>
      </c>
      <c r="D25" s="85">
        <v>2.2400000000000002</v>
      </c>
      <c r="E25" s="86">
        <v>150.18</v>
      </c>
      <c r="F25" s="12">
        <f t="shared" si="0"/>
        <v>150.18</v>
      </c>
    </row>
    <row r="26" spans="2:6" ht="12" customHeight="1" x14ac:dyDescent="0.3">
      <c r="B26" s="81">
        <v>39387</v>
      </c>
      <c r="C26" s="82">
        <v>2895</v>
      </c>
      <c r="D26" s="85">
        <v>2.21</v>
      </c>
      <c r="E26" s="86">
        <v>142.15</v>
      </c>
      <c r="F26" s="12">
        <f t="shared" si="0"/>
        <v>142.15</v>
      </c>
    </row>
    <row r="27" spans="2:6" ht="12" customHeight="1" x14ac:dyDescent="0.3">
      <c r="B27" s="81">
        <v>39417</v>
      </c>
      <c r="C27" s="82">
        <v>1296</v>
      </c>
      <c r="D27" s="85">
        <v>2.86</v>
      </c>
      <c r="E27" s="86">
        <v>178.73</v>
      </c>
      <c r="F27" s="12">
        <f t="shared" si="0"/>
        <v>178.73</v>
      </c>
    </row>
    <row r="28" spans="2:6" ht="12" customHeight="1" x14ac:dyDescent="0.3">
      <c r="B28" s="81">
        <v>39448</v>
      </c>
      <c r="C28" s="82">
        <v>2344</v>
      </c>
      <c r="D28" s="83">
        <v>2.89</v>
      </c>
      <c r="E28" s="84">
        <v>203.63</v>
      </c>
      <c r="F28" s="12">
        <f t="shared" si="0"/>
        <v>203.63</v>
      </c>
    </row>
    <row r="29" spans="2:6" ht="12" customHeight="1" x14ac:dyDescent="0.3">
      <c r="B29" s="81">
        <v>39479</v>
      </c>
      <c r="C29" s="82">
        <v>4899</v>
      </c>
      <c r="D29" s="83">
        <v>3.12</v>
      </c>
      <c r="E29" s="84">
        <v>220.19</v>
      </c>
      <c r="F29" s="12">
        <f t="shared" si="0"/>
        <v>220.19</v>
      </c>
    </row>
    <row r="30" spans="2:6" ht="12" customHeight="1" x14ac:dyDescent="0.3">
      <c r="B30" s="81">
        <v>39508</v>
      </c>
      <c r="C30" s="82">
        <v>6117</v>
      </c>
      <c r="D30" s="83">
        <v>3.09</v>
      </c>
      <c r="E30" s="84">
        <v>193.98</v>
      </c>
      <c r="F30" s="12">
        <f t="shared" si="0"/>
        <v>193.98</v>
      </c>
    </row>
    <row r="31" spans="2:6" ht="12" customHeight="1" x14ac:dyDescent="0.3">
      <c r="B31" s="81">
        <v>39539</v>
      </c>
      <c r="C31" s="82">
        <v>6374</v>
      </c>
      <c r="D31" s="83">
        <v>2.72</v>
      </c>
      <c r="E31" s="84">
        <v>169.14</v>
      </c>
      <c r="F31" s="12">
        <f t="shared" si="0"/>
        <v>169.14</v>
      </c>
    </row>
    <row r="32" spans="2:6" ht="12" customHeight="1" x14ac:dyDescent="0.3">
      <c r="B32" s="81">
        <v>39569</v>
      </c>
      <c r="C32" s="82">
        <v>3179</v>
      </c>
      <c r="D32" s="83">
        <v>2.34</v>
      </c>
      <c r="E32" s="84">
        <v>144.93</v>
      </c>
      <c r="F32" s="12">
        <f t="shared" si="0"/>
        <v>144.93</v>
      </c>
    </row>
    <row r="33" spans="2:6" ht="12" customHeight="1" x14ac:dyDescent="0.3">
      <c r="B33" s="81">
        <v>39600</v>
      </c>
      <c r="C33" s="85">
        <v>0</v>
      </c>
      <c r="D33" s="83">
        <v>0</v>
      </c>
      <c r="E33" s="84">
        <v>0</v>
      </c>
      <c r="F33" s="12">
        <f t="shared" si="0"/>
        <v>169.35</v>
      </c>
    </row>
    <row r="34" spans="2:6" ht="12" customHeight="1" x14ac:dyDescent="0.3">
      <c r="B34" s="81">
        <v>39630</v>
      </c>
      <c r="C34" s="82">
        <v>1957</v>
      </c>
      <c r="D34" s="83">
        <v>2.64</v>
      </c>
      <c r="E34" s="84">
        <v>177.5</v>
      </c>
      <c r="F34" s="12">
        <f t="shared" si="0"/>
        <v>177.5</v>
      </c>
    </row>
    <row r="35" spans="2:6" ht="12" customHeight="1" x14ac:dyDescent="0.3">
      <c r="B35" s="81">
        <v>39661</v>
      </c>
      <c r="C35" s="82">
        <v>2173</v>
      </c>
      <c r="D35" s="83">
        <v>2.61</v>
      </c>
      <c r="E35" s="84">
        <v>179.5</v>
      </c>
      <c r="F35" s="12">
        <f t="shared" si="0"/>
        <v>179.5</v>
      </c>
    </row>
    <row r="36" spans="2:6" ht="12" customHeight="1" x14ac:dyDescent="0.3">
      <c r="B36" s="81">
        <v>39692</v>
      </c>
      <c r="C36" s="82">
        <v>3878</v>
      </c>
      <c r="D36" s="83">
        <v>2.37</v>
      </c>
      <c r="E36" s="84">
        <v>173.56</v>
      </c>
      <c r="F36" s="12">
        <f t="shared" si="0"/>
        <v>173.56</v>
      </c>
    </row>
    <row r="37" spans="2:6" ht="12" customHeight="1" x14ac:dyDescent="0.3">
      <c r="B37" s="81">
        <v>39722</v>
      </c>
      <c r="C37" s="82">
        <v>2253</v>
      </c>
      <c r="D37" s="83">
        <v>1.66</v>
      </c>
      <c r="E37" s="84">
        <v>132.37</v>
      </c>
      <c r="F37" s="12">
        <f t="shared" si="0"/>
        <v>132.37</v>
      </c>
    </row>
    <row r="38" spans="2:6" ht="12" customHeight="1" x14ac:dyDescent="0.3">
      <c r="B38" s="81">
        <v>39753</v>
      </c>
      <c r="C38" s="82">
        <v>2517</v>
      </c>
      <c r="D38" s="83">
        <v>1.95</v>
      </c>
      <c r="E38" s="84">
        <v>151.91999999999999</v>
      </c>
      <c r="F38" s="12">
        <f t="shared" si="0"/>
        <v>151.91999999999999</v>
      </c>
    </row>
    <row r="39" spans="2:6" ht="12" customHeight="1" x14ac:dyDescent="0.3">
      <c r="B39" s="81">
        <v>39783</v>
      </c>
      <c r="C39" s="82">
        <v>3014</v>
      </c>
      <c r="D39" s="83">
        <v>2.08</v>
      </c>
      <c r="E39" s="84">
        <v>161.5</v>
      </c>
      <c r="F39" s="12">
        <f t="shared" si="0"/>
        <v>161.5</v>
      </c>
    </row>
    <row r="40" spans="2:6" ht="12" customHeight="1" x14ac:dyDescent="0.3">
      <c r="B40" s="81">
        <v>39814</v>
      </c>
      <c r="C40" s="82">
        <v>5643</v>
      </c>
      <c r="D40" s="85">
        <v>2.0099999999999998</v>
      </c>
      <c r="E40" s="86">
        <v>159.9</v>
      </c>
      <c r="F40" s="12">
        <f t="shared" si="0"/>
        <v>159.9</v>
      </c>
    </row>
    <row r="41" spans="2:6" ht="12" customHeight="1" x14ac:dyDescent="0.3">
      <c r="B41" s="81">
        <v>39845</v>
      </c>
      <c r="C41" s="82">
        <v>6356</v>
      </c>
      <c r="D41" s="85">
        <v>2.17</v>
      </c>
      <c r="E41" s="86">
        <v>172.92</v>
      </c>
      <c r="F41" s="12">
        <f t="shared" si="0"/>
        <v>172.92</v>
      </c>
    </row>
    <row r="42" spans="2:6" ht="12" customHeight="1" x14ac:dyDescent="0.3">
      <c r="B42" s="81">
        <v>39873</v>
      </c>
      <c r="C42" s="82">
        <v>8721</v>
      </c>
      <c r="D42" s="85">
        <v>3.13</v>
      </c>
      <c r="E42" s="86">
        <v>156.29</v>
      </c>
      <c r="F42" s="12">
        <f t="shared" si="0"/>
        <v>156.29</v>
      </c>
    </row>
    <row r="43" spans="2:6" ht="12" customHeight="1" x14ac:dyDescent="0.3">
      <c r="B43" s="81">
        <v>39904</v>
      </c>
      <c r="C43" s="82">
        <v>7129</v>
      </c>
      <c r="D43" s="85">
        <v>2.88</v>
      </c>
      <c r="E43" s="86">
        <v>144.22</v>
      </c>
      <c r="F43" s="12">
        <f t="shared" si="0"/>
        <v>144.22</v>
      </c>
    </row>
    <row r="44" spans="2:6" ht="12" customHeight="1" x14ac:dyDescent="0.3">
      <c r="B44" s="81">
        <v>39934</v>
      </c>
      <c r="C44" s="82">
        <v>5763</v>
      </c>
      <c r="D44" s="85">
        <v>2.69</v>
      </c>
      <c r="E44" s="86">
        <v>210.43</v>
      </c>
      <c r="F44" s="12">
        <f t="shared" si="0"/>
        <v>210.43</v>
      </c>
    </row>
    <row r="45" spans="2:6" ht="12" customHeight="1" x14ac:dyDescent="0.3">
      <c r="B45" s="81">
        <v>39965</v>
      </c>
      <c r="C45" s="82">
        <v>4297</v>
      </c>
      <c r="D45" s="85">
        <v>2.64</v>
      </c>
      <c r="E45" s="86">
        <v>205.71</v>
      </c>
      <c r="F45" s="12">
        <f t="shared" si="0"/>
        <v>205.71</v>
      </c>
    </row>
    <row r="46" spans="2:6" ht="12" customHeight="1" x14ac:dyDescent="0.3">
      <c r="B46" s="81">
        <v>39995</v>
      </c>
      <c r="C46" s="85">
        <v>0</v>
      </c>
      <c r="D46" s="85">
        <v>0</v>
      </c>
      <c r="E46" s="86">
        <v>0</v>
      </c>
      <c r="F46" s="12">
        <f t="shared" si="0"/>
        <v>186.78666666666666</v>
      </c>
    </row>
    <row r="47" spans="2:6" ht="12" customHeight="1" x14ac:dyDescent="0.3">
      <c r="B47" s="81">
        <v>40026</v>
      </c>
      <c r="C47" s="82">
        <v>4027</v>
      </c>
      <c r="D47" s="85">
        <v>3.39</v>
      </c>
      <c r="E47" s="86">
        <v>258.55</v>
      </c>
      <c r="F47" s="12">
        <f t="shared" si="0"/>
        <v>258.55</v>
      </c>
    </row>
    <row r="48" spans="2:6" ht="12" customHeight="1" x14ac:dyDescent="0.3">
      <c r="B48" s="81">
        <v>40057</v>
      </c>
      <c r="C48" s="82">
        <v>2137</v>
      </c>
      <c r="D48" s="85">
        <v>3.34</v>
      </c>
      <c r="E48" s="86">
        <v>252.3</v>
      </c>
      <c r="F48" s="12">
        <f t="shared" si="0"/>
        <v>252.3</v>
      </c>
    </row>
    <row r="49" spans="2:6" ht="12" customHeight="1" x14ac:dyDescent="0.3">
      <c r="B49" s="81">
        <v>40087</v>
      </c>
      <c r="C49" s="82">
        <v>1329</v>
      </c>
      <c r="D49" s="85">
        <v>3.1</v>
      </c>
      <c r="E49" s="86">
        <v>234.4</v>
      </c>
      <c r="F49" s="12">
        <f>IF(E49=0,AVERAGE(E46:E48),E49)</f>
        <v>234.4</v>
      </c>
    </row>
    <row r="50" spans="2:6" ht="12" customHeight="1" x14ac:dyDescent="0.3">
      <c r="B50" s="81">
        <v>40118</v>
      </c>
      <c r="C50" s="82">
        <v>1283</v>
      </c>
      <c r="D50" s="85">
        <v>3.62</v>
      </c>
      <c r="E50" s="86">
        <v>272.36</v>
      </c>
      <c r="F50" s="12">
        <f t="shared" si="0"/>
        <v>272.36</v>
      </c>
    </row>
    <row r="51" spans="2:6" ht="12" customHeight="1" x14ac:dyDescent="0.3">
      <c r="B51" s="81">
        <v>40148</v>
      </c>
      <c r="C51" s="82">
        <v>2813</v>
      </c>
      <c r="D51" s="85">
        <v>4.54</v>
      </c>
      <c r="E51" s="86">
        <v>340.85</v>
      </c>
      <c r="F51" s="12">
        <f t="shared" si="0"/>
        <v>340.85</v>
      </c>
    </row>
    <row r="52" spans="2:6" ht="12" customHeight="1" x14ac:dyDescent="0.3">
      <c r="B52" s="81">
        <v>40179</v>
      </c>
      <c r="C52" s="82">
        <v>4473</v>
      </c>
      <c r="D52" s="85">
        <v>4.75</v>
      </c>
      <c r="E52" s="86">
        <v>360.04</v>
      </c>
      <c r="F52" s="12">
        <f t="shared" si="0"/>
        <v>360.04</v>
      </c>
    </row>
    <row r="53" spans="2:6" ht="12" customHeight="1" x14ac:dyDescent="0.3">
      <c r="B53" s="81">
        <v>40210</v>
      </c>
      <c r="C53" s="82">
        <v>5243</v>
      </c>
      <c r="D53" s="85">
        <v>5.44</v>
      </c>
      <c r="E53" s="86">
        <v>417.51</v>
      </c>
      <c r="F53" s="12">
        <f t="shared" si="0"/>
        <v>417.51</v>
      </c>
    </row>
    <row r="54" spans="2:6" ht="12" customHeight="1" x14ac:dyDescent="0.3">
      <c r="B54" s="81">
        <v>40238</v>
      </c>
      <c r="C54" s="82">
        <v>5930</v>
      </c>
      <c r="D54" s="85">
        <v>4.87</v>
      </c>
      <c r="E54" s="86">
        <v>374.42</v>
      </c>
      <c r="F54" s="12">
        <f t="shared" si="0"/>
        <v>374.42</v>
      </c>
    </row>
    <row r="55" spans="2:6" ht="12" customHeight="1" x14ac:dyDescent="0.3">
      <c r="B55" s="81">
        <v>40269</v>
      </c>
      <c r="C55" s="82">
        <v>3221</v>
      </c>
      <c r="D55" s="85">
        <v>3.68</v>
      </c>
      <c r="E55" s="86">
        <v>284.39999999999998</v>
      </c>
      <c r="F55" s="12">
        <f t="shared" si="0"/>
        <v>284.39999999999998</v>
      </c>
    </row>
    <row r="56" spans="2:6" ht="12" customHeight="1" x14ac:dyDescent="0.3">
      <c r="B56" s="81">
        <v>40299</v>
      </c>
      <c r="C56" s="82">
        <v>2496</v>
      </c>
      <c r="D56" s="85">
        <v>3.05</v>
      </c>
      <c r="E56" s="86">
        <v>239.34</v>
      </c>
      <c r="F56" s="12">
        <f t="shared" si="0"/>
        <v>239.34</v>
      </c>
    </row>
    <row r="57" spans="2:6" ht="12" customHeight="1" x14ac:dyDescent="0.3">
      <c r="B57" s="81">
        <v>40330</v>
      </c>
      <c r="C57" s="82">
        <v>1699</v>
      </c>
      <c r="D57" s="85">
        <v>2.86</v>
      </c>
      <c r="E57" s="86">
        <v>232.55</v>
      </c>
      <c r="F57" s="12">
        <f t="shared" si="0"/>
        <v>232.55</v>
      </c>
    </row>
    <row r="58" spans="2:6" ht="12" customHeight="1" x14ac:dyDescent="0.3">
      <c r="B58" s="81">
        <v>40360</v>
      </c>
      <c r="C58" s="85">
        <v>0</v>
      </c>
      <c r="D58" s="85">
        <v>0</v>
      </c>
      <c r="E58" s="86">
        <v>0</v>
      </c>
      <c r="F58" s="12">
        <f t="shared" si="0"/>
        <v>252.09666666666666</v>
      </c>
    </row>
    <row r="59" spans="2:6" ht="12" customHeight="1" x14ac:dyDescent="0.3">
      <c r="B59" s="81">
        <v>40391</v>
      </c>
      <c r="C59" s="82">
        <v>5140</v>
      </c>
      <c r="D59" s="85">
        <v>6.63</v>
      </c>
      <c r="E59" s="86">
        <v>543.91</v>
      </c>
      <c r="F59" s="12">
        <f t="shared" si="0"/>
        <v>543.91</v>
      </c>
    </row>
    <row r="60" spans="2:6" ht="12" customHeight="1" x14ac:dyDescent="0.3">
      <c r="B60" s="81">
        <v>40422</v>
      </c>
      <c r="C60" s="82">
        <v>2570</v>
      </c>
      <c r="D60" s="85">
        <v>4.99</v>
      </c>
      <c r="E60" s="86">
        <v>403.71</v>
      </c>
      <c r="F60" s="12">
        <f t="shared" si="0"/>
        <v>403.71</v>
      </c>
    </row>
    <row r="61" spans="2:6" ht="12" customHeight="1" x14ac:dyDescent="0.3">
      <c r="B61" s="81">
        <v>40452</v>
      </c>
      <c r="C61" s="82">
        <v>2634</v>
      </c>
      <c r="D61" s="85">
        <v>4.57</v>
      </c>
      <c r="E61" s="86">
        <v>369.52</v>
      </c>
      <c r="F61" s="12">
        <f t="shared" si="0"/>
        <v>369.52</v>
      </c>
    </row>
    <row r="62" spans="2:6" ht="12" customHeight="1" x14ac:dyDescent="0.3">
      <c r="B62" s="81">
        <v>40483</v>
      </c>
      <c r="C62" s="82">
        <v>4065</v>
      </c>
      <c r="D62" s="85">
        <v>5.87</v>
      </c>
      <c r="E62" s="86">
        <v>473.49</v>
      </c>
      <c r="F62" s="12">
        <f t="shared" si="0"/>
        <v>473.49</v>
      </c>
    </row>
    <row r="63" spans="2:6" ht="12" customHeight="1" x14ac:dyDescent="0.3">
      <c r="B63" s="81">
        <v>40513</v>
      </c>
      <c r="C63" s="82">
        <v>1467</v>
      </c>
      <c r="D63" s="85">
        <v>6.69</v>
      </c>
      <c r="E63" s="86">
        <v>538.65</v>
      </c>
      <c r="F63" s="12">
        <f>IF(E63=0,AVERAGE(E60:E62),E63)</f>
        <v>538.65</v>
      </c>
    </row>
    <row r="64" spans="2:6" ht="12" customHeight="1" x14ac:dyDescent="0.3">
      <c r="B64" s="81">
        <v>40544</v>
      </c>
      <c r="C64" s="87">
        <v>3774</v>
      </c>
      <c r="D64" s="83">
        <v>8.4</v>
      </c>
      <c r="E64" s="86">
        <v>681.54</v>
      </c>
      <c r="F64" s="12">
        <f t="shared" si="0"/>
        <v>681.54</v>
      </c>
    </row>
    <row r="65" spans="2:6" ht="12" customHeight="1" x14ac:dyDescent="0.3">
      <c r="B65" s="81">
        <v>40575</v>
      </c>
      <c r="C65" s="87">
        <v>3851</v>
      </c>
      <c r="D65" s="83">
        <v>7.86</v>
      </c>
      <c r="E65" s="86">
        <v>640</v>
      </c>
      <c r="F65" s="12">
        <f t="shared" si="0"/>
        <v>640</v>
      </c>
    </row>
    <row r="66" spans="2:6" ht="12" customHeight="1" x14ac:dyDescent="0.3">
      <c r="B66" s="81">
        <v>40603</v>
      </c>
      <c r="C66" s="87">
        <v>3639</v>
      </c>
      <c r="D66" s="83">
        <v>6.96</v>
      </c>
      <c r="E66" s="86">
        <v>587.03</v>
      </c>
      <c r="F66" s="12">
        <f t="shared" si="0"/>
        <v>587.03</v>
      </c>
    </row>
    <row r="67" spans="2:6" ht="12" customHeight="1" x14ac:dyDescent="0.3">
      <c r="B67" s="81">
        <v>40634</v>
      </c>
      <c r="C67" s="87">
        <v>2298</v>
      </c>
      <c r="D67" s="83">
        <v>5.64</v>
      </c>
      <c r="E67" s="86">
        <v>473.8</v>
      </c>
      <c r="F67" s="12">
        <f t="shared" si="0"/>
        <v>473.8</v>
      </c>
    </row>
    <row r="68" spans="2:6" ht="12" customHeight="1" x14ac:dyDescent="0.3">
      <c r="B68" s="81">
        <v>40664</v>
      </c>
      <c r="C68" s="83">
        <v>0</v>
      </c>
      <c r="D68" s="83">
        <v>0</v>
      </c>
      <c r="E68" s="86">
        <v>0</v>
      </c>
      <c r="F68" s="12">
        <f t="shared" si="0"/>
        <v>566.94333333333327</v>
      </c>
    </row>
    <row r="69" spans="2:6" ht="12" customHeight="1" x14ac:dyDescent="0.3">
      <c r="B69" s="81">
        <v>40695</v>
      </c>
      <c r="C69" s="87">
        <v>1136</v>
      </c>
      <c r="D69" s="83">
        <v>6.56</v>
      </c>
      <c r="E69" s="86">
        <v>595.83000000000004</v>
      </c>
      <c r="F69" s="12">
        <f t="shared" si="0"/>
        <v>595.83000000000004</v>
      </c>
    </row>
    <row r="70" spans="2:6" ht="12" customHeight="1" x14ac:dyDescent="0.3">
      <c r="B70" s="81">
        <v>40725</v>
      </c>
      <c r="C70" s="87">
        <v>3305</v>
      </c>
      <c r="D70" s="83">
        <v>6.55</v>
      </c>
      <c r="E70" s="86">
        <v>591.87</v>
      </c>
      <c r="F70" s="12">
        <f t="shared" si="0"/>
        <v>591.87</v>
      </c>
    </row>
    <row r="71" spans="2:6" ht="12" customHeight="1" x14ac:dyDescent="0.3">
      <c r="B71" s="81">
        <v>40756</v>
      </c>
      <c r="C71" s="87">
        <v>4558</v>
      </c>
      <c r="D71" s="83">
        <v>6.27</v>
      </c>
      <c r="E71" s="86">
        <v>581.89</v>
      </c>
      <c r="F71" s="12">
        <f t="shared" si="0"/>
        <v>581.89</v>
      </c>
    </row>
    <row r="72" spans="2:6" ht="12" customHeight="1" x14ac:dyDescent="0.3">
      <c r="B72" s="81">
        <v>40787</v>
      </c>
      <c r="C72" s="87">
        <v>2904</v>
      </c>
      <c r="D72" s="83">
        <v>6.11</v>
      </c>
      <c r="E72" s="86">
        <v>592.76</v>
      </c>
      <c r="F72" s="12">
        <f t="shared" ref="F72:F135" si="1">IF(E72=0,AVERAGE(E69:E71),E72)</f>
        <v>592.76</v>
      </c>
    </row>
    <row r="73" spans="2:6" ht="12" customHeight="1" x14ac:dyDescent="0.3">
      <c r="B73" s="81">
        <v>40817</v>
      </c>
      <c r="C73" s="87">
        <v>1388</v>
      </c>
      <c r="D73" s="83">
        <v>5.31</v>
      </c>
      <c r="E73" s="86">
        <v>542.63</v>
      </c>
      <c r="F73" s="12">
        <f t="shared" si="1"/>
        <v>542.63</v>
      </c>
    </row>
    <row r="74" spans="2:6" ht="12" customHeight="1" x14ac:dyDescent="0.3">
      <c r="B74" s="81">
        <v>40848</v>
      </c>
      <c r="C74" s="87">
        <v>1331</v>
      </c>
      <c r="D74" s="83">
        <v>5.77</v>
      </c>
      <c r="E74" s="86">
        <v>540.97</v>
      </c>
      <c r="F74" s="12">
        <f t="shared" si="1"/>
        <v>540.97</v>
      </c>
    </row>
    <row r="75" spans="2:6" ht="12" customHeight="1" x14ac:dyDescent="0.3">
      <c r="B75" s="81">
        <v>40878</v>
      </c>
      <c r="C75" s="87">
        <v>1800</v>
      </c>
      <c r="D75" s="83">
        <v>6.75</v>
      </c>
      <c r="E75" s="86">
        <v>602.64</v>
      </c>
      <c r="F75" s="12">
        <f t="shared" si="1"/>
        <v>602.64</v>
      </c>
    </row>
    <row r="76" spans="2:6" ht="12" customHeight="1" x14ac:dyDescent="0.3">
      <c r="B76" s="81">
        <v>40909</v>
      </c>
      <c r="C76" s="87">
        <v>4770</v>
      </c>
      <c r="D76" s="83">
        <v>6.31</v>
      </c>
      <c r="E76" s="84">
        <v>543.91999999999996</v>
      </c>
      <c r="F76" s="12">
        <f t="shared" si="1"/>
        <v>543.91999999999996</v>
      </c>
    </row>
    <row r="77" spans="2:6" ht="12" customHeight="1" x14ac:dyDescent="0.3">
      <c r="B77" s="81">
        <v>40940</v>
      </c>
      <c r="C77" s="87">
        <v>6505</v>
      </c>
      <c r="D77" s="83">
        <v>4.4400000000000004</v>
      </c>
      <c r="E77" s="84">
        <v>368.78</v>
      </c>
      <c r="F77" s="12">
        <f t="shared" si="1"/>
        <v>368.78</v>
      </c>
    </row>
    <row r="78" spans="2:6" ht="12" customHeight="1" x14ac:dyDescent="0.3">
      <c r="B78" s="81">
        <v>40969</v>
      </c>
      <c r="C78" s="87">
        <v>3317</v>
      </c>
      <c r="D78" s="83">
        <v>4.68</v>
      </c>
      <c r="E78" s="84">
        <v>388.61</v>
      </c>
      <c r="F78" s="12">
        <f t="shared" si="1"/>
        <v>388.61</v>
      </c>
    </row>
    <row r="79" spans="2:6" ht="12" customHeight="1" x14ac:dyDescent="0.3">
      <c r="B79" s="81">
        <v>41000</v>
      </c>
      <c r="C79" s="87">
        <v>4801</v>
      </c>
      <c r="D79" s="83">
        <v>4.12</v>
      </c>
      <c r="E79" s="84">
        <v>342.49</v>
      </c>
      <c r="F79" s="12">
        <f t="shared" si="1"/>
        <v>342.49</v>
      </c>
    </row>
    <row r="80" spans="2:6" ht="12" customHeight="1" x14ac:dyDescent="0.3">
      <c r="B80" s="81">
        <v>41030</v>
      </c>
      <c r="C80" s="87">
        <v>5472</v>
      </c>
      <c r="D80" s="83">
        <v>3.59</v>
      </c>
      <c r="E80" s="84">
        <v>302.51</v>
      </c>
      <c r="F80" s="12">
        <f t="shared" si="1"/>
        <v>302.51</v>
      </c>
    </row>
    <row r="81" spans="2:6" ht="12" customHeight="1" x14ac:dyDescent="0.3">
      <c r="B81" s="81">
        <v>41061</v>
      </c>
      <c r="C81" s="87">
        <v>3884</v>
      </c>
      <c r="D81" s="83">
        <v>3.04</v>
      </c>
      <c r="E81" s="84">
        <v>258.05</v>
      </c>
      <c r="F81" s="12">
        <f t="shared" si="1"/>
        <v>258.05</v>
      </c>
    </row>
    <row r="82" spans="2:6" ht="12" customHeight="1" x14ac:dyDescent="0.3">
      <c r="B82" s="81">
        <v>41091</v>
      </c>
      <c r="C82" s="87">
        <v>3086</v>
      </c>
      <c r="D82" s="83">
        <v>3.54</v>
      </c>
      <c r="E82" s="84">
        <v>297.99</v>
      </c>
      <c r="F82" s="12">
        <f t="shared" si="1"/>
        <v>297.99</v>
      </c>
    </row>
    <row r="83" spans="2:6" ht="12" customHeight="1" x14ac:dyDescent="0.3">
      <c r="B83" s="81">
        <v>41122</v>
      </c>
      <c r="C83" s="87">
        <v>3948</v>
      </c>
      <c r="D83" s="83">
        <v>3.3</v>
      </c>
      <c r="E83" s="84">
        <v>277.27999999999997</v>
      </c>
      <c r="F83" s="12">
        <f t="shared" si="1"/>
        <v>277.27999999999997</v>
      </c>
    </row>
    <row r="84" spans="2:6" ht="12" customHeight="1" x14ac:dyDescent="0.3">
      <c r="B84" s="81">
        <v>41153</v>
      </c>
      <c r="C84" s="87">
        <v>4474</v>
      </c>
      <c r="D84" s="83">
        <v>3.14</v>
      </c>
      <c r="E84" s="84">
        <v>265.22000000000003</v>
      </c>
      <c r="F84" s="12">
        <f t="shared" si="1"/>
        <v>265.22000000000003</v>
      </c>
    </row>
    <row r="85" spans="2:6" ht="12" customHeight="1" x14ac:dyDescent="0.3">
      <c r="B85" s="81">
        <v>41183</v>
      </c>
      <c r="C85" s="87">
        <v>2924</v>
      </c>
      <c r="D85" s="83">
        <v>3.09</v>
      </c>
      <c r="E85" s="84">
        <v>263.39</v>
      </c>
      <c r="F85" s="12">
        <f t="shared" si="1"/>
        <v>263.39</v>
      </c>
    </row>
    <row r="86" spans="2:6" ht="12" customHeight="1" x14ac:dyDescent="0.3">
      <c r="B86" s="81">
        <v>41214</v>
      </c>
      <c r="C86" s="87">
        <v>1794</v>
      </c>
      <c r="D86" s="83">
        <v>3.19</v>
      </c>
      <c r="E86" s="84">
        <v>272.27</v>
      </c>
      <c r="F86" s="12">
        <f t="shared" si="1"/>
        <v>272.27</v>
      </c>
    </row>
    <row r="87" spans="2:6" ht="12" customHeight="1" x14ac:dyDescent="0.3">
      <c r="B87" s="81">
        <v>41244</v>
      </c>
      <c r="C87" s="87">
        <v>1075</v>
      </c>
      <c r="D87" s="83">
        <v>3.58</v>
      </c>
      <c r="E87" s="84">
        <v>307.99</v>
      </c>
      <c r="F87" s="12">
        <f t="shared" si="1"/>
        <v>307.99</v>
      </c>
    </row>
    <row r="88" spans="2:6" ht="12" customHeight="1" x14ac:dyDescent="0.3">
      <c r="B88" s="81">
        <v>41275</v>
      </c>
      <c r="C88" s="82">
        <v>3938</v>
      </c>
      <c r="D88" s="83">
        <v>3.96</v>
      </c>
      <c r="E88" s="84">
        <v>344.17</v>
      </c>
      <c r="F88" s="12">
        <f t="shared" si="1"/>
        <v>344.17</v>
      </c>
    </row>
    <row r="89" spans="2:6" ht="12" customHeight="1" x14ac:dyDescent="0.3">
      <c r="B89" s="81">
        <v>41306</v>
      </c>
      <c r="C89" s="82">
        <v>4825</v>
      </c>
      <c r="D89" s="83">
        <v>3.66</v>
      </c>
      <c r="E89" s="84">
        <v>319.7</v>
      </c>
      <c r="F89" s="12">
        <f t="shared" si="1"/>
        <v>319.7</v>
      </c>
    </row>
    <row r="90" spans="2:6" ht="12" customHeight="1" x14ac:dyDescent="0.3">
      <c r="B90" s="81">
        <v>41334</v>
      </c>
      <c r="C90" s="82">
        <v>4074</v>
      </c>
      <c r="D90" s="83">
        <v>3.81</v>
      </c>
      <c r="E90" s="84">
        <v>326.86</v>
      </c>
      <c r="F90" s="12">
        <f t="shared" si="1"/>
        <v>326.86</v>
      </c>
    </row>
    <row r="91" spans="2:6" ht="12" customHeight="1" x14ac:dyDescent="0.3">
      <c r="B91" s="81">
        <v>41365</v>
      </c>
      <c r="C91" s="82">
        <v>6038</v>
      </c>
      <c r="D91" s="83">
        <v>3.31</v>
      </c>
      <c r="E91" s="84">
        <v>278.7</v>
      </c>
      <c r="F91" s="12">
        <f t="shared" si="1"/>
        <v>278.7</v>
      </c>
    </row>
    <row r="92" spans="2:6" ht="12" customHeight="1" x14ac:dyDescent="0.3">
      <c r="B92" s="81">
        <v>41395</v>
      </c>
      <c r="C92" s="82">
        <v>4482</v>
      </c>
      <c r="D92" s="83">
        <v>2.73</v>
      </c>
      <c r="E92" s="84">
        <v>229.85</v>
      </c>
      <c r="F92" s="12">
        <f t="shared" si="1"/>
        <v>229.85</v>
      </c>
    </row>
    <row r="93" spans="2:6" ht="12" customHeight="1" x14ac:dyDescent="0.3">
      <c r="B93" s="81">
        <v>41426</v>
      </c>
      <c r="C93" s="82">
        <v>2307</v>
      </c>
      <c r="D93" s="83">
        <v>2.4300000000000002</v>
      </c>
      <c r="E93" s="84">
        <v>208.1</v>
      </c>
      <c r="F93" s="12">
        <f t="shared" si="1"/>
        <v>208.1</v>
      </c>
    </row>
    <row r="94" spans="2:6" ht="12" customHeight="1" x14ac:dyDescent="0.3">
      <c r="B94" s="81">
        <v>41456</v>
      </c>
      <c r="C94" s="85">
        <v>830</v>
      </c>
      <c r="D94" s="83">
        <v>2.89</v>
      </c>
      <c r="E94" s="84">
        <v>250.59</v>
      </c>
      <c r="F94" s="12">
        <f t="shared" si="1"/>
        <v>250.59</v>
      </c>
    </row>
    <row r="95" spans="2:6" ht="12" customHeight="1" x14ac:dyDescent="0.3">
      <c r="B95" s="81">
        <v>41487</v>
      </c>
      <c r="C95" s="82">
        <v>3411</v>
      </c>
      <c r="D95" s="83">
        <v>3.39</v>
      </c>
      <c r="E95" s="84">
        <v>296.97000000000003</v>
      </c>
      <c r="F95" s="12">
        <f t="shared" si="1"/>
        <v>296.97000000000003</v>
      </c>
    </row>
    <row r="96" spans="2:6" ht="12" customHeight="1" x14ac:dyDescent="0.3">
      <c r="B96" s="81">
        <v>41518</v>
      </c>
      <c r="C96" s="82">
        <v>2442</v>
      </c>
      <c r="D96" s="83">
        <v>3.28</v>
      </c>
      <c r="E96" s="84">
        <v>286.47000000000003</v>
      </c>
      <c r="F96" s="12">
        <f t="shared" si="1"/>
        <v>286.47000000000003</v>
      </c>
    </row>
    <row r="97" spans="2:6" ht="12" customHeight="1" x14ac:dyDescent="0.3">
      <c r="B97" s="81">
        <v>41548</v>
      </c>
      <c r="C97" s="82">
        <v>1580</v>
      </c>
      <c r="D97" s="83">
        <v>2.81</v>
      </c>
      <c r="E97" s="84">
        <v>239.37</v>
      </c>
      <c r="F97" s="12">
        <f t="shared" si="1"/>
        <v>239.37</v>
      </c>
    </row>
    <row r="98" spans="2:6" ht="12" customHeight="1" x14ac:dyDescent="0.3">
      <c r="B98" s="81">
        <v>41579</v>
      </c>
      <c r="C98" s="82">
        <v>1882</v>
      </c>
      <c r="D98" s="83">
        <v>2.97</v>
      </c>
      <c r="E98" s="84">
        <v>255.55</v>
      </c>
      <c r="F98" s="12">
        <f t="shared" si="1"/>
        <v>255.55</v>
      </c>
    </row>
    <row r="99" spans="2:6" ht="12" customHeight="1" x14ac:dyDescent="0.3">
      <c r="B99" s="81">
        <v>41609</v>
      </c>
      <c r="C99" s="82">
        <v>2133</v>
      </c>
      <c r="D99" s="83">
        <v>3.18</v>
      </c>
      <c r="E99" s="84">
        <v>274.39</v>
      </c>
      <c r="F99" s="12">
        <f t="shared" si="1"/>
        <v>274.39</v>
      </c>
    </row>
    <row r="100" spans="2:6" ht="12" customHeight="1" x14ac:dyDescent="0.3">
      <c r="B100" s="81">
        <v>41640</v>
      </c>
      <c r="C100" s="82">
        <v>2850</v>
      </c>
      <c r="D100" s="83">
        <v>3.4</v>
      </c>
      <c r="E100" s="84">
        <v>293.39</v>
      </c>
      <c r="F100" s="12">
        <f t="shared" si="1"/>
        <v>293.39</v>
      </c>
    </row>
    <row r="101" spans="2:6" ht="12" customHeight="1" x14ac:dyDescent="0.3">
      <c r="B101" s="81">
        <v>41671</v>
      </c>
      <c r="C101" s="82">
        <v>5382</v>
      </c>
      <c r="D101" s="83">
        <v>4.62</v>
      </c>
      <c r="E101" s="84">
        <v>398.62</v>
      </c>
      <c r="F101" s="12">
        <f t="shared" si="1"/>
        <v>398.62</v>
      </c>
    </row>
    <row r="102" spans="2:6" ht="12" customHeight="1" x14ac:dyDescent="0.3">
      <c r="B102" s="81">
        <v>41699</v>
      </c>
      <c r="C102" s="82">
        <v>6212</v>
      </c>
      <c r="D102" s="83">
        <v>5.31</v>
      </c>
      <c r="E102" s="84">
        <v>459.34</v>
      </c>
      <c r="F102" s="12">
        <f t="shared" si="1"/>
        <v>459.34</v>
      </c>
    </row>
    <row r="103" spans="2:6" ht="12" customHeight="1" x14ac:dyDescent="0.3">
      <c r="B103" s="81">
        <v>41730</v>
      </c>
      <c r="C103" s="82">
        <v>6611</v>
      </c>
      <c r="D103" s="83">
        <v>4.5199999999999996</v>
      </c>
      <c r="E103" s="84">
        <v>392.22</v>
      </c>
      <c r="F103" s="12">
        <f t="shared" si="1"/>
        <v>392.22</v>
      </c>
    </row>
    <row r="104" spans="2:6" ht="12" customHeight="1" x14ac:dyDescent="0.3">
      <c r="B104" s="81">
        <v>41760</v>
      </c>
      <c r="C104" s="82">
        <v>3747</v>
      </c>
      <c r="D104" s="83">
        <v>3.99</v>
      </c>
      <c r="E104" s="84">
        <v>349.47</v>
      </c>
      <c r="F104" s="12">
        <f t="shared" si="1"/>
        <v>349.47</v>
      </c>
    </row>
    <row r="105" spans="2:6" ht="12" customHeight="1" x14ac:dyDescent="0.3">
      <c r="B105" s="81">
        <v>41791</v>
      </c>
      <c r="C105" s="82">
        <v>2860</v>
      </c>
      <c r="D105" s="83">
        <v>4.09</v>
      </c>
      <c r="E105" s="84">
        <v>357.96</v>
      </c>
      <c r="F105" s="12">
        <f t="shared" si="1"/>
        <v>357.96</v>
      </c>
    </row>
    <row r="106" spans="2:6" ht="12" customHeight="1" x14ac:dyDescent="0.3">
      <c r="B106" s="81">
        <v>41821</v>
      </c>
      <c r="C106" s="82">
        <v>1292</v>
      </c>
      <c r="D106" s="83">
        <v>3.59</v>
      </c>
      <c r="E106" s="84">
        <v>314.67</v>
      </c>
      <c r="F106" s="12">
        <f t="shared" si="1"/>
        <v>314.67</v>
      </c>
    </row>
    <row r="107" spans="2:6" ht="12" customHeight="1" x14ac:dyDescent="0.3">
      <c r="B107" s="81">
        <v>41852</v>
      </c>
      <c r="C107" s="82">
        <v>3214</v>
      </c>
      <c r="D107" s="83">
        <v>4.33</v>
      </c>
      <c r="E107" s="84">
        <v>381.16</v>
      </c>
      <c r="F107" s="12">
        <f t="shared" si="1"/>
        <v>381.16</v>
      </c>
    </row>
    <row r="108" spans="2:6" ht="12" customHeight="1" x14ac:dyDescent="0.3">
      <c r="B108" s="81">
        <v>41883</v>
      </c>
      <c r="C108" s="82">
        <v>3424</v>
      </c>
      <c r="D108" s="83">
        <v>4.55</v>
      </c>
      <c r="E108" s="84">
        <v>404.29</v>
      </c>
      <c r="F108" s="12">
        <f t="shared" si="1"/>
        <v>404.29</v>
      </c>
    </row>
    <row r="109" spans="2:6" ht="12" customHeight="1" x14ac:dyDescent="0.3">
      <c r="B109" s="81">
        <v>41913</v>
      </c>
      <c r="C109" s="82">
        <v>2801</v>
      </c>
      <c r="D109" s="83">
        <v>4.74</v>
      </c>
      <c r="E109" s="84">
        <v>422.76</v>
      </c>
      <c r="F109" s="12">
        <f t="shared" si="1"/>
        <v>422.76</v>
      </c>
    </row>
    <row r="110" spans="2:6" ht="12" customHeight="1" x14ac:dyDescent="0.3">
      <c r="B110" s="81">
        <v>41944</v>
      </c>
      <c r="C110" s="82">
        <v>1703</v>
      </c>
      <c r="D110" s="83">
        <v>4.5599999999999996</v>
      </c>
      <c r="E110" s="84">
        <v>410.25</v>
      </c>
      <c r="F110" s="12">
        <f t="shared" si="1"/>
        <v>410.25</v>
      </c>
    </row>
    <row r="111" spans="2:6" ht="12" customHeight="1" x14ac:dyDescent="0.3">
      <c r="B111" s="81">
        <v>41974</v>
      </c>
      <c r="C111" s="82">
        <v>2354</v>
      </c>
      <c r="D111" s="83">
        <v>4.58</v>
      </c>
      <c r="E111" s="84">
        <v>414</v>
      </c>
      <c r="F111" s="12">
        <f t="shared" si="1"/>
        <v>414</v>
      </c>
    </row>
    <row r="112" spans="2:6" ht="12" customHeight="1" x14ac:dyDescent="0.3">
      <c r="B112" s="81">
        <v>42005</v>
      </c>
      <c r="C112" s="91">
        <v>2795.04</v>
      </c>
      <c r="D112" s="85">
        <v>4.51</v>
      </c>
      <c r="E112" s="84">
        <v>411.64</v>
      </c>
      <c r="F112" s="12">
        <f t="shared" si="1"/>
        <v>411.64</v>
      </c>
    </row>
    <row r="113" spans="2:6" ht="12" customHeight="1" x14ac:dyDescent="0.3">
      <c r="B113" s="81">
        <v>42036</v>
      </c>
      <c r="C113" s="91">
        <v>4838.1000000000004</v>
      </c>
      <c r="D113" s="85">
        <v>5.35</v>
      </c>
      <c r="E113" s="84">
        <v>489.26</v>
      </c>
      <c r="F113" s="12">
        <f t="shared" si="1"/>
        <v>489.26</v>
      </c>
    </row>
    <row r="114" spans="2:6" ht="12" customHeight="1" x14ac:dyDescent="0.3">
      <c r="B114" s="81">
        <v>42064</v>
      </c>
      <c r="C114" s="91">
        <v>5569.92</v>
      </c>
      <c r="D114" s="85">
        <v>4.12</v>
      </c>
      <c r="E114" s="84">
        <v>378.17</v>
      </c>
      <c r="F114" s="12">
        <f t="shared" si="1"/>
        <v>378.17</v>
      </c>
    </row>
    <row r="115" spans="2:6" ht="12" customHeight="1" x14ac:dyDescent="0.3">
      <c r="B115" s="81">
        <v>42095</v>
      </c>
      <c r="C115" s="91">
        <v>3713.07</v>
      </c>
      <c r="D115" s="85">
        <v>3.32</v>
      </c>
      <c r="E115" s="84">
        <v>310.42</v>
      </c>
      <c r="F115" s="12">
        <f t="shared" si="1"/>
        <v>310.42</v>
      </c>
    </row>
    <row r="116" spans="2:6" ht="12" customHeight="1" x14ac:dyDescent="0.3">
      <c r="B116" s="81">
        <v>42125</v>
      </c>
      <c r="C116" s="91">
        <v>2966.46</v>
      </c>
      <c r="D116" s="85">
        <v>3</v>
      </c>
      <c r="E116" s="84">
        <v>288.92</v>
      </c>
      <c r="F116" s="12">
        <f t="shared" si="1"/>
        <v>288.92</v>
      </c>
    </row>
    <row r="117" spans="2:6" ht="12" customHeight="1" x14ac:dyDescent="0.3">
      <c r="B117" s="81">
        <v>42156</v>
      </c>
      <c r="C117" s="85" t="s">
        <v>71</v>
      </c>
      <c r="D117" s="85" t="s">
        <v>71</v>
      </c>
      <c r="E117" s="84">
        <v>0</v>
      </c>
      <c r="F117" s="12">
        <f t="shared" si="1"/>
        <v>325.83666666666664</v>
      </c>
    </row>
    <row r="118" spans="2:6" ht="12" customHeight="1" x14ac:dyDescent="0.3">
      <c r="B118" s="81">
        <v>42186</v>
      </c>
      <c r="C118" s="91">
        <v>2085.54</v>
      </c>
      <c r="D118" s="85">
        <v>3.35</v>
      </c>
      <c r="E118" s="84">
        <v>339.49</v>
      </c>
      <c r="F118" s="12">
        <f t="shared" si="1"/>
        <v>339.49</v>
      </c>
    </row>
    <row r="119" spans="2:6" ht="12" customHeight="1" x14ac:dyDescent="0.3">
      <c r="B119" s="81">
        <v>42217</v>
      </c>
      <c r="C119" s="91">
        <v>3286.29</v>
      </c>
      <c r="D119" s="85">
        <v>3.62</v>
      </c>
      <c r="E119" s="84">
        <v>371.21</v>
      </c>
      <c r="F119" s="12">
        <f t="shared" si="1"/>
        <v>371.21</v>
      </c>
    </row>
    <row r="120" spans="2:6" ht="12" customHeight="1" x14ac:dyDescent="0.3">
      <c r="B120" s="81">
        <v>42248</v>
      </c>
      <c r="C120" s="91">
        <v>2643.1</v>
      </c>
      <c r="D120" s="85">
        <v>3.46</v>
      </c>
      <c r="E120" s="84">
        <v>363.96</v>
      </c>
      <c r="F120" s="12">
        <f t="shared" si="1"/>
        <v>363.96</v>
      </c>
    </row>
    <row r="121" spans="2:6" ht="12" customHeight="1" x14ac:dyDescent="0.3">
      <c r="B121" s="81">
        <v>42278</v>
      </c>
      <c r="C121" s="91">
        <v>1768.47</v>
      </c>
      <c r="D121" s="85">
        <v>3.11</v>
      </c>
      <c r="E121" s="84">
        <v>319.60000000000002</v>
      </c>
      <c r="F121" s="12">
        <f t="shared" si="1"/>
        <v>319.60000000000002</v>
      </c>
    </row>
    <row r="122" spans="2:6" ht="12" customHeight="1" x14ac:dyDescent="0.3">
      <c r="B122" s="81">
        <v>42309</v>
      </c>
      <c r="C122" s="91">
        <v>1267.96</v>
      </c>
      <c r="D122" s="85">
        <v>3.3</v>
      </c>
      <c r="E122" s="84">
        <v>337.27</v>
      </c>
      <c r="F122" s="12">
        <f t="shared" si="1"/>
        <v>337.27</v>
      </c>
    </row>
    <row r="123" spans="2:6" ht="12" customHeight="1" x14ac:dyDescent="0.3">
      <c r="B123" s="81">
        <v>42339</v>
      </c>
      <c r="C123" s="91">
        <v>1282.3900000000001</v>
      </c>
      <c r="D123" s="85">
        <v>4.26</v>
      </c>
      <c r="E123" s="84">
        <v>435.3</v>
      </c>
      <c r="F123" s="12">
        <f t="shared" si="1"/>
        <v>435.3</v>
      </c>
    </row>
    <row r="124" spans="2:6" ht="12" customHeight="1" x14ac:dyDescent="0.3">
      <c r="B124" s="81">
        <v>42370</v>
      </c>
      <c r="C124" s="91">
        <v>3432.03</v>
      </c>
      <c r="D124" s="85">
        <v>4.51</v>
      </c>
      <c r="E124" s="84">
        <v>461.78</v>
      </c>
      <c r="F124" s="12">
        <f t="shared" si="1"/>
        <v>461.78</v>
      </c>
    </row>
    <row r="125" spans="2:6" ht="12" customHeight="1" x14ac:dyDescent="0.3">
      <c r="B125" s="81">
        <v>42401</v>
      </c>
      <c r="C125" s="91">
        <v>5219.72</v>
      </c>
      <c r="D125" s="85">
        <v>4.7699999999999996</v>
      </c>
      <c r="E125" s="84">
        <v>485.71</v>
      </c>
      <c r="F125" s="12">
        <f t="shared" si="1"/>
        <v>485.71</v>
      </c>
    </row>
    <row r="126" spans="2:6" ht="12" customHeight="1" x14ac:dyDescent="0.3">
      <c r="B126" s="81">
        <v>42430</v>
      </c>
      <c r="C126" s="91">
        <v>6835.21</v>
      </c>
      <c r="D126" s="85">
        <v>4.3099999999999996</v>
      </c>
      <c r="E126" s="84">
        <v>437.29</v>
      </c>
      <c r="F126" s="12">
        <f t="shared" si="1"/>
        <v>437.29</v>
      </c>
    </row>
    <row r="127" spans="2:6" ht="12" customHeight="1" x14ac:dyDescent="0.3">
      <c r="B127" s="81">
        <v>42461</v>
      </c>
      <c r="C127" s="91">
        <v>4513.4399999999996</v>
      </c>
      <c r="D127" s="85">
        <v>3.36</v>
      </c>
      <c r="E127" s="84">
        <v>339.66</v>
      </c>
      <c r="F127" s="12">
        <f t="shared" si="1"/>
        <v>339.66</v>
      </c>
    </row>
    <row r="128" spans="2:6" ht="12" customHeight="1" x14ac:dyDescent="0.3">
      <c r="B128" s="81">
        <v>42491</v>
      </c>
      <c r="C128" s="91">
        <v>4734.79</v>
      </c>
      <c r="D128" s="85">
        <v>2.61</v>
      </c>
      <c r="E128" s="84">
        <v>262.89999999999998</v>
      </c>
      <c r="F128" s="12">
        <f t="shared" si="1"/>
        <v>262.89999999999998</v>
      </c>
    </row>
    <row r="129" spans="2:6" ht="12" customHeight="1" x14ac:dyDescent="0.3">
      <c r="B129" s="81">
        <v>42522</v>
      </c>
      <c r="C129" s="91">
        <v>1747.29</v>
      </c>
      <c r="D129" s="85">
        <v>2.65</v>
      </c>
      <c r="E129" s="84">
        <v>268.44</v>
      </c>
      <c r="F129" s="12">
        <f t="shared" si="1"/>
        <v>268.44</v>
      </c>
    </row>
    <row r="130" spans="2:6" ht="12" customHeight="1" x14ac:dyDescent="0.3">
      <c r="B130" s="81">
        <v>42552</v>
      </c>
      <c r="C130" s="85">
        <v>568.89</v>
      </c>
      <c r="D130" s="85">
        <v>3.2</v>
      </c>
      <c r="E130" s="84">
        <v>324.01</v>
      </c>
      <c r="F130" s="12">
        <f t="shared" si="1"/>
        <v>324.01</v>
      </c>
    </row>
    <row r="131" spans="2:6" ht="12" customHeight="1" x14ac:dyDescent="0.3">
      <c r="B131" s="81">
        <v>42583</v>
      </c>
      <c r="C131" s="91">
        <v>3723.02</v>
      </c>
      <c r="D131" s="85">
        <v>4.25</v>
      </c>
      <c r="E131" s="84">
        <v>430.63</v>
      </c>
      <c r="F131" s="12">
        <f t="shared" si="1"/>
        <v>430.63</v>
      </c>
    </row>
    <row r="132" spans="2:6" ht="12" customHeight="1" x14ac:dyDescent="0.3">
      <c r="B132" s="81">
        <v>42614</v>
      </c>
      <c r="C132" s="91">
        <v>3284.28</v>
      </c>
      <c r="D132" s="85">
        <v>4.32</v>
      </c>
      <c r="E132" s="84">
        <v>437.46</v>
      </c>
      <c r="F132" s="12">
        <f t="shared" si="1"/>
        <v>437.46</v>
      </c>
    </row>
    <row r="133" spans="2:6" ht="12" customHeight="1" x14ac:dyDescent="0.3">
      <c r="B133" s="81">
        <v>42644</v>
      </c>
      <c r="C133" s="91">
        <v>1572.93</v>
      </c>
      <c r="D133" s="85">
        <v>4.05</v>
      </c>
      <c r="E133" s="84">
        <v>410.09</v>
      </c>
      <c r="F133" s="12">
        <f t="shared" si="1"/>
        <v>410.09</v>
      </c>
    </row>
    <row r="134" spans="2:6" ht="12" customHeight="1" x14ac:dyDescent="0.3">
      <c r="B134" s="81">
        <v>42675</v>
      </c>
      <c r="C134" s="91">
        <v>2373.89</v>
      </c>
      <c r="D134" s="85">
        <v>4.5999999999999996</v>
      </c>
      <c r="E134" s="84">
        <v>467.73</v>
      </c>
      <c r="F134" s="12">
        <f t="shared" si="1"/>
        <v>467.73</v>
      </c>
    </row>
    <row r="135" spans="2:6" ht="12" customHeight="1" x14ac:dyDescent="0.3">
      <c r="B135" s="81">
        <v>42705</v>
      </c>
      <c r="C135" s="91">
        <v>1666.38</v>
      </c>
      <c r="D135" s="85">
        <v>5.03</v>
      </c>
      <c r="E135" s="84">
        <v>514.1</v>
      </c>
      <c r="F135" s="12">
        <f t="shared" si="1"/>
        <v>514.1</v>
      </c>
    </row>
    <row r="136" spans="2:6" ht="12" customHeight="1" x14ac:dyDescent="0.3">
      <c r="B136" s="81">
        <v>42736</v>
      </c>
      <c r="C136" s="91">
        <v>5190.3999999999996</v>
      </c>
      <c r="D136" s="83">
        <v>5.69</v>
      </c>
      <c r="E136" s="84">
        <v>590.16999999999996</v>
      </c>
      <c r="F136" s="12">
        <f t="shared" ref="F136:F199" si="2">IF(E136=0,AVERAGE(E133:E135),E136)</f>
        <v>590.16999999999996</v>
      </c>
    </row>
    <row r="137" spans="2:6" ht="12" customHeight="1" x14ac:dyDescent="0.3">
      <c r="B137" s="81">
        <v>42767</v>
      </c>
      <c r="C137" s="91">
        <v>6080.63</v>
      </c>
      <c r="D137" s="83">
        <v>5.85</v>
      </c>
      <c r="E137" s="84">
        <v>606.23</v>
      </c>
      <c r="F137" s="12">
        <f t="shared" si="2"/>
        <v>606.23</v>
      </c>
    </row>
    <row r="138" spans="2:6" ht="12" customHeight="1" x14ac:dyDescent="0.3">
      <c r="B138" s="81">
        <v>42795</v>
      </c>
      <c r="C138" s="91">
        <v>5460</v>
      </c>
      <c r="D138" s="83">
        <v>4.93</v>
      </c>
      <c r="E138" s="84">
        <v>506.64</v>
      </c>
      <c r="F138" s="12">
        <f t="shared" si="2"/>
        <v>506.64</v>
      </c>
    </row>
    <row r="139" spans="2:6" ht="12" customHeight="1" x14ac:dyDescent="0.3">
      <c r="B139" s="81">
        <v>42826</v>
      </c>
      <c r="C139" s="91">
        <v>4562.82</v>
      </c>
      <c r="D139" s="83">
        <v>2.9</v>
      </c>
      <c r="E139" s="84">
        <v>299.26</v>
      </c>
      <c r="F139" s="12">
        <f t="shared" si="2"/>
        <v>299.26</v>
      </c>
    </row>
    <row r="140" spans="2:6" ht="12" customHeight="1" x14ac:dyDescent="0.3">
      <c r="B140" s="81">
        <v>42856</v>
      </c>
      <c r="C140" s="91">
        <v>1639.23</v>
      </c>
      <c r="D140" s="83">
        <v>2.68</v>
      </c>
      <c r="E140" s="84">
        <v>276.43</v>
      </c>
      <c r="F140" s="12">
        <f t="shared" si="2"/>
        <v>276.43</v>
      </c>
    </row>
    <row r="141" spans="2:6" ht="12" customHeight="1" x14ac:dyDescent="0.3">
      <c r="B141" s="81">
        <v>42887</v>
      </c>
      <c r="C141" s="85" t="s">
        <v>71</v>
      </c>
      <c r="D141" s="83" t="s">
        <v>71</v>
      </c>
      <c r="E141" s="84">
        <v>0</v>
      </c>
      <c r="F141" s="12">
        <f t="shared" si="2"/>
        <v>360.77666666666664</v>
      </c>
    </row>
    <row r="142" spans="2:6" ht="12" customHeight="1" x14ac:dyDescent="0.3">
      <c r="B142" s="81">
        <v>42917</v>
      </c>
      <c r="C142" s="85">
        <v>762.44</v>
      </c>
      <c r="D142" s="83">
        <v>4.04</v>
      </c>
      <c r="E142" s="84">
        <v>419.6</v>
      </c>
      <c r="F142" s="12">
        <f t="shared" si="2"/>
        <v>419.6</v>
      </c>
    </row>
    <row r="143" spans="2:6" ht="12" customHeight="1" x14ac:dyDescent="0.3">
      <c r="B143" s="81">
        <v>42948</v>
      </c>
      <c r="C143" s="91">
        <v>2318.84</v>
      </c>
      <c r="D143" s="83">
        <v>4.28</v>
      </c>
      <c r="E143" s="84">
        <v>443.01</v>
      </c>
      <c r="F143" s="12">
        <f t="shared" si="2"/>
        <v>443.01</v>
      </c>
    </row>
    <row r="144" spans="2:6" ht="12" customHeight="1" x14ac:dyDescent="0.3">
      <c r="B144" s="81">
        <v>42979</v>
      </c>
      <c r="C144" s="91">
        <v>2464.54</v>
      </c>
      <c r="D144" s="83">
        <v>4.43</v>
      </c>
      <c r="E144" s="84">
        <v>457.16</v>
      </c>
      <c r="F144" s="12">
        <f t="shared" si="2"/>
        <v>457.16</v>
      </c>
    </row>
    <row r="145" spans="2:6" ht="12" customHeight="1" x14ac:dyDescent="0.3">
      <c r="B145" s="81">
        <v>43009</v>
      </c>
      <c r="C145" s="91">
        <v>1619.4</v>
      </c>
      <c r="D145" s="83">
        <v>3.95</v>
      </c>
      <c r="E145" s="84">
        <v>408.72</v>
      </c>
      <c r="F145" s="12">
        <f t="shared" si="2"/>
        <v>408.72</v>
      </c>
    </row>
    <row r="146" spans="2:6" ht="12" customHeight="1" x14ac:dyDescent="0.3">
      <c r="B146" s="81">
        <v>43040</v>
      </c>
      <c r="C146" s="91">
        <v>2310.39</v>
      </c>
      <c r="D146" s="83">
        <v>4.05</v>
      </c>
      <c r="E146" s="84">
        <v>419.48</v>
      </c>
      <c r="F146" s="12">
        <f t="shared" si="2"/>
        <v>419.48</v>
      </c>
    </row>
    <row r="147" spans="2:6" ht="12" customHeight="1" x14ac:dyDescent="0.3">
      <c r="B147" s="81">
        <v>43070</v>
      </c>
      <c r="C147" s="91">
        <v>1319.79</v>
      </c>
      <c r="D147" s="83">
        <v>4.3899999999999997</v>
      </c>
      <c r="E147" s="84">
        <v>453</v>
      </c>
      <c r="F147" s="12">
        <f t="shared" si="2"/>
        <v>453</v>
      </c>
    </row>
    <row r="148" spans="2:6" ht="12" customHeight="1" x14ac:dyDescent="0.3">
      <c r="B148" s="81">
        <v>43101</v>
      </c>
      <c r="C148" s="91">
        <v>5111.8999999999996</v>
      </c>
      <c r="D148" s="85">
        <v>5.13</v>
      </c>
      <c r="E148" s="86">
        <v>527.24</v>
      </c>
      <c r="F148" s="12">
        <f t="shared" si="2"/>
        <v>527.24</v>
      </c>
    </row>
    <row r="149" spans="2:6" ht="12" customHeight="1" x14ac:dyDescent="0.3">
      <c r="B149" s="81">
        <v>43132</v>
      </c>
      <c r="C149" s="91">
        <v>5832.22</v>
      </c>
      <c r="D149" s="85">
        <v>5.69</v>
      </c>
      <c r="E149" s="86">
        <v>577.36</v>
      </c>
      <c r="F149" s="12">
        <f t="shared" si="2"/>
        <v>577.36</v>
      </c>
    </row>
    <row r="150" spans="2:6" ht="12" customHeight="1" x14ac:dyDescent="0.3">
      <c r="B150" s="81">
        <v>43160</v>
      </c>
      <c r="C150" s="91">
        <v>4913.1499999999996</v>
      </c>
      <c r="D150" s="85">
        <v>4.7300000000000004</v>
      </c>
      <c r="E150" s="86">
        <v>478.14</v>
      </c>
      <c r="F150" s="12">
        <f t="shared" si="2"/>
        <v>478.14</v>
      </c>
    </row>
    <row r="151" spans="2:6" ht="12" customHeight="1" x14ac:dyDescent="0.3">
      <c r="B151" s="81">
        <v>43191</v>
      </c>
      <c r="C151" s="91">
        <v>4194.24</v>
      </c>
      <c r="D151" s="85">
        <v>3.03</v>
      </c>
      <c r="E151" s="86">
        <v>304.58999999999997</v>
      </c>
      <c r="F151" s="12">
        <f t="shared" si="2"/>
        <v>304.58999999999997</v>
      </c>
    </row>
    <row r="152" spans="2:6" ht="12" customHeight="1" x14ac:dyDescent="0.3">
      <c r="B152" s="81">
        <v>43221</v>
      </c>
      <c r="C152" s="91">
        <v>4619.51</v>
      </c>
      <c r="D152" s="85">
        <v>2.15</v>
      </c>
      <c r="E152" s="86">
        <v>216.55</v>
      </c>
      <c r="F152" s="12">
        <f t="shared" si="2"/>
        <v>216.55</v>
      </c>
    </row>
    <row r="153" spans="2:6" ht="12" customHeight="1" x14ac:dyDescent="0.3">
      <c r="B153" s="81">
        <v>43252</v>
      </c>
      <c r="C153" s="85" t="s">
        <v>71</v>
      </c>
      <c r="D153" s="85" t="s">
        <v>71</v>
      </c>
      <c r="E153" s="86">
        <v>0</v>
      </c>
      <c r="F153" s="12">
        <f t="shared" si="2"/>
        <v>333.09333333333331</v>
      </c>
    </row>
    <row r="154" spans="2:6" ht="12" customHeight="1" x14ac:dyDescent="0.3">
      <c r="B154" s="81">
        <v>43282</v>
      </c>
      <c r="C154" s="91">
        <v>1221.2</v>
      </c>
      <c r="D154" s="85">
        <v>3.54</v>
      </c>
      <c r="E154" s="86">
        <v>356.73</v>
      </c>
      <c r="F154" s="12">
        <f t="shared" si="2"/>
        <v>356.73</v>
      </c>
    </row>
    <row r="155" spans="2:6" ht="12" customHeight="1" x14ac:dyDescent="0.3">
      <c r="B155" s="81">
        <v>43313</v>
      </c>
      <c r="C155" s="91">
        <v>2234.56</v>
      </c>
      <c r="D155" s="85">
        <v>3.35</v>
      </c>
      <c r="E155" s="86">
        <v>337.3</v>
      </c>
      <c r="F155" s="12">
        <f t="shared" si="2"/>
        <v>337.3</v>
      </c>
    </row>
    <row r="156" spans="2:6" ht="12" customHeight="1" x14ac:dyDescent="0.3">
      <c r="B156" s="81">
        <v>43344</v>
      </c>
      <c r="C156" s="91">
        <v>2299.09</v>
      </c>
      <c r="D156" s="85">
        <v>2.86</v>
      </c>
      <c r="E156" s="86">
        <v>288.68</v>
      </c>
      <c r="F156" s="12">
        <f t="shared" si="2"/>
        <v>288.68</v>
      </c>
    </row>
    <row r="157" spans="2:6" ht="12" customHeight="1" x14ac:dyDescent="0.3">
      <c r="B157" s="81">
        <v>43374</v>
      </c>
      <c r="C157" s="91">
        <v>2493.2399999999998</v>
      </c>
      <c r="D157" s="85">
        <v>3.17</v>
      </c>
      <c r="E157" s="86">
        <v>320.55</v>
      </c>
      <c r="F157" s="12">
        <f t="shared" si="2"/>
        <v>320.55</v>
      </c>
    </row>
    <row r="158" spans="2:6" ht="12" customHeight="1" x14ac:dyDescent="0.3">
      <c r="B158" s="81">
        <v>43405</v>
      </c>
      <c r="C158" s="91">
        <v>2334.41</v>
      </c>
      <c r="D158" s="85">
        <v>3.6</v>
      </c>
      <c r="E158" s="86">
        <v>368.16</v>
      </c>
      <c r="F158" s="12">
        <f t="shared" si="2"/>
        <v>368.16</v>
      </c>
    </row>
    <row r="159" spans="2:6" ht="12" customHeight="1" x14ac:dyDescent="0.3">
      <c r="B159" s="81">
        <v>43435</v>
      </c>
      <c r="C159" s="91">
        <v>1577.04</v>
      </c>
      <c r="D159" s="85">
        <v>3.95</v>
      </c>
      <c r="E159" s="86">
        <v>403.58</v>
      </c>
      <c r="F159" s="12">
        <f t="shared" si="2"/>
        <v>403.58</v>
      </c>
    </row>
    <row r="160" spans="2:6" ht="12" customHeight="1" x14ac:dyDescent="0.3">
      <c r="B160" s="81">
        <v>43466</v>
      </c>
      <c r="C160" s="92">
        <v>4166.7700000000004</v>
      </c>
      <c r="D160" s="83">
        <v>4.46</v>
      </c>
      <c r="E160" s="84">
        <v>452.57</v>
      </c>
      <c r="F160" s="12">
        <f t="shared" si="2"/>
        <v>452.57</v>
      </c>
    </row>
    <row r="161" spans="2:6" ht="12" customHeight="1" x14ac:dyDescent="0.3">
      <c r="B161" s="81">
        <v>43497</v>
      </c>
      <c r="C161" s="92">
        <v>5723.84</v>
      </c>
      <c r="D161" s="83">
        <v>4.49</v>
      </c>
      <c r="E161" s="84">
        <v>449.47</v>
      </c>
      <c r="F161" s="12">
        <f t="shared" si="2"/>
        <v>449.47</v>
      </c>
    </row>
    <row r="162" spans="2:6" ht="12" customHeight="1" x14ac:dyDescent="0.3">
      <c r="B162" s="81">
        <v>43525</v>
      </c>
      <c r="C162" s="92">
        <v>4057.03</v>
      </c>
      <c r="D162" s="83">
        <v>2.97</v>
      </c>
      <c r="E162" s="84">
        <v>298.47000000000003</v>
      </c>
      <c r="F162" s="12">
        <f t="shared" si="2"/>
        <v>298.47000000000003</v>
      </c>
    </row>
    <row r="163" spans="2:6" ht="12" customHeight="1" x14ac:dyDescent="0.3">
      <c r="B163" s="81">
        <v>43556</v>
      </c>
      <c r="C163" s="92">
        <v>5307.4</v>
      </c>
      <c r="D163" s="83">
        <v>2.0099999999999998</v>
      </c>
      <c r="E163" s="84">
        <v>203.37</v>
      </c>
      <c r="F163" s="12">
        <f t="shared" si="2"/>
        <v>203.37</v>
      </c>
    </row>
    <row r="164" spans="2:6" ht="12" customHeight="1" x14ac:dyDescent="0.3">
      <c r="B164" s="81">
        <v>43586</v>
      </c>
      <c r="C164" s="92">
        <v>4084</v>
      </c>
      <c r="D164" s="83">
        <v>1.98</v>
      </c>
      <c r="E164" s="84">
        <v>200.58</v>
      </c>
      <c r="F164" s="12">
        <f t="shared" si="2"/>
        <v>200.58</v>
      </c>
    </row>
    <row r="165" spans="2:6" ht="12" customHeight="1" x14ac:dyDescent="0.3">
      <c r="B165" s="81">
        <v>43617</v>
      </c>
      <c r="C165" s="92">
        <v>2020.8</v>
      </c>
      <c r="D165" s="83">
        <v>1.89</v>
      </c>
      <c r="E165" s="84">
        <v>191.97</v>
      </c>
      <c r="F165" s="12">
        <f t="shared" si="2"/>
        <v>191.97</v>
      </c>
    </row>
    <row r="166" spans="2:6" ht="12" customHeight="1" x14ac:dyDescent="0.3">
      <c r="B166" s="81">
        <v>43647</v>
      </c>
      <c r="C166" s="83">
        <v>671.6</v>
      </c>
      <c r="D166" s="83">
        <v>1.91</v>
      </c>
      <c r="E166" s="84">
        <v>196.94</v>
      </c>
      <c r="F166" s="12">
        <f t="shared" si="2"/>
        <v>196.94</v>
      </c>
    </row>
    <row r="167" spans="2:6" ht="12" customHeight="1" x14ac:dyDescent="0.3">
      <c r="B167" s="81">
        <v>43678</v>
      </c>
      <c r="C167" s="92">
        <v>1646.63</v>
      </c>
      <c r="D167" s="83">
        <v>2.1</v>
      </c>
      <c r="E167" s="84">
        <v>216.51</v>
      </c>
      <c r="F167" s="12">
        <f t="shared" si="2"/>
        <v>216.51</v>
      </c>
    </row>
    <row r="168" spans="2:6" ht="12" customHeight="1" x14ac:dyDescent="0.3">
      <c r="B168" s="81">
        <v>43709</v>
      </c>
      <c r="C168" s="92">
        <v>1521.79</v>
      </c>
      <c r="D168" s="83">
        <v>2.2400000000000002</v>
      </c>
      <c r="E168" s="84">
        <v>232.6</v>
      </c>
      <c r="F168" s="12">
        <f t="shared" si="2"/>
        <v>232.6</v>
      </c>
    </row>
    <row r="169" spans="2:6" ht="12" customHeight="1" x14ac:dyDescent="0.3">
      <c r="B169" s="81">
        <v>43739</v>
      </c>
      <c r="C169" s="92">
        <v>2540.6799999999998</v>
      </c>
      <c r="D169" s="83">
        <v>2.5099999999999998</v>
      </c>
      <c r="E169" s="84">
        <v>259.85000000000002</v>
      </c>
      <c r="F169" s="12">
        <f t="shared" si="2"/>
        <v>259.85000000000002</v>
      </c>
    </row>
    <row r="170" spans="2:6" ht="12" customHeight="1" x14ac:dyDescent="0.3">
      <c r="B170" s="81">
        <v>43770</v>
      </c>
      <c r="C170" s="92">
        <v>1116.76</v>
      </c>
      <c r="D170" s="83">
        <v>3.24</v>
      </c>
      <c r="E170" s="84">
        <v>331.71</v>
      </c>
      <c r="F170" s="12">
        <f t="shared" si="2"/>
        <v>331.71</v>
      </c>
    </row>
    <row r="171" spans="2:6" ht="12" customHeight="1" x14ac:dyDescent="0.3">
      <c r="B171" s="81">
        <v>43800</v>
      </c>
      <c r="C171" s="83">
        <v>770.82</v>
      </c>
      <c r="D171" s="83">
        <v>4.29</v>
      </c>
      <c r="E171" s="84">
        <v>435.44</v>
      </c>
      <c r="F171" s="12">
        <f t="shared" si="2"/>
        <v>435.44</v>
      </c>
    </row>
    <row r="172" spans="2:6" ht="12" customHeight="1" x14ac:dyDescent="0.3">
      <c r="B172" s="81">
        <v>43831</v>
      </c>
      <c r="C172" s="91">
        <v>3048.63</v>
      </c>
      <c r="D172" s="85">
        <v>4.34</v>
      </c>
      <c r="E172" s="86">
        <v>438.95</v>
      </c>
      <c r="F172" s="12">
        <f t="shared" si="2"/>
        <v>438.95</v>
      </c>
    </row>
    <row r="173" spans="2:6" ht="12" customHeight="1" x14ac:dyDescent="0.3">
      <c r="B173" s="81">
        <v>43862</v>
      </c>
      <c r="C173" s="91">
        <v>4409.6000000000004</v>
      </c>
      <c r="D173" s="85">
        <v>4.24</v>
      </c>
      <c r="E173" s="86">
        <v>427.28</v>
      </c>
      <c r="F173" s="12">
        <f t="shared" si="2"/>
        <v>427.28</v>
      </c>
    </row>
    <row r="174" spans="2:6" ht="12" customHeight="1" x14ac:dyDescent="0.3">
      <c r="B174" s="81">
        <v>43891</v>
      </c>
      <c r="C174" s="91">
        <v>4845.46</v>
      </c>
      <c r="D174" s="85">
        <v>4.0599999999999996</v>
      </c>
      <c r="E174" s="86">
        <v>421.92</v>
      </c>
      <c r="F174" s="12">
        <f t="shared" si="2"/>
        <v>421.92</v>
      </c>
    </row>
    <row r="175" spans="2:6" ht="12" customHeight="1" x14ac:dyDescent="0.3">
      <c r="B175" s="81">
        <v>43922</v>
      </c>
      <c r="C175" s="91">
        <v>2242.4699999999998</v>
      </c>
      <c r="D175" s="85">
        <v>2.75</v>
      </c>
      <c r="E175" s="86">
        <v>294.7</v>
      </c>
      <c r="F175" s="12">
        <f t="shared" si="2"/>
        <v>294.7</v>
      </c>
    </row>
    <row r="176" spans="2:6" ht="12" customHeight="1" x14ac:dyDescent="0.3">
      <c r="B176" s="81">
        <v>43952</v>
      </c>
      <c r="C176" s="91">
        <v>1125.04</v>
      </c>
      <c r="D176" s="85">
        <v>2.59</v>
      </c>
      <c r="E176" s="86">
        <v>276.10000000000002</v>
      </c>
      <c r="F176" s="12">
        <f t="shared" si="2"/>
        <v>276.10000000000002</v>
      </c>
    </row>
    <row r="177" spans="2:6" ht="12" customHeight="1" x14ac:dyDescent="0.3">
      <c r="B177" s="81">
        <v>43983</v>
      </c>
      <c r="C177" s="85" t="s">
        <v>71</v>
      </c>
      <c r="D177" s="85" t="s">
        <v>71</v>
      </c>
      <c r="E177" s="86">
        <v>0</v>
      </c>
      <c r="F177" s="12">
        <f t="shared" si="2"/>
        <v>330.90666666666669</v>
      </c>
    </row>
    <row r="178" spans="2:6" ht="12" customHeight="1" x14ac:dyDescent="0.3">
      <c r="B178" s="81">
        <v>44013</v>
      </c>
      <c r="C178" s="91">
        <v>1310.43</v>
      </c>
      <c r="D178" s="85">
        <v>3.32</v>
      </c>
      <c r="E178" s="86">
        <v>357.53</v>
      </c>
      <c r="F178" s="12">
        <f t="shared" si="2"/>
        <v>357.53</v>
      </c>
    </row>
    <row r="179" spans="2:6" ht="12" customHeight="1" x14ac:dyDescent="0.3">
      <c r="B179" s="81">
        <v>44044</v>
      </c>
      <c r="C179" s="91">
        <v>1208.67</v>
      </c>
      <c r="D179" s="85">
        <v>4.8600000000000003</v>
      </c>
      <c r="E179" s="86">
        <v>525.29</v>
      </c>
      <c r="F179" s="12">
        <f t="shared" si="2"/>
        <v>525.29</v>
      </c>
    </row>
    <row r="180" spans="2:6" ht="12" customHeight="1" x14ac:dyDescent="0.3">
      <c r="B180" s="81">
        <v>44075</v>
      </c>
      <c r="C180" s="91">
        <v>1912.58</v>
      </c>
      <c r="D180" s="85">
        <v>4.47</v>
      </c>
      <c r="E180" s="86">
        <v>484.47</v>
      </c>
      <c r="F180" s="12">
        <f t="shared" si="2"/>
        <v>484.47</v>
      </c>
    </row>
    <row r="181" spans="2:6" ht="12" customHeight="1" x14ac:dyDescent="0.3">
      <c r="B181" s="81">
        <v>44105</v>
      </c>
      <c r="C181" s="91">
        <v>1328.52</v>
      </c>
      <c r="D181" s="85">
        <v>4.8499999999999996</v>
      </c>
      <c r="E181" s="86">
        <v>526.79999999999995</v>
      </c>
      <c r="F181" s="12">
        <f t="shared" si="2"/>
        <v>526.79999999999995</v>
      </c>
    </row>
    <row r="182" spans="2:6" ht="12" customHeight="1" x14ac:dyDescent="0.3">
      <c r="B182" s="81">
        <v>44136</v>
      </c>
      <c r="C182" s="91">
        <v>1318.42</v>
      </c>
      <c r="D182" s="85">
        <v>5.2</v>
      </c>
      <c r="E182" s="86">
        <v>568.36</v>
      </c>
      <c r="F182" s="12">
        <f t="shared" si="2"/>
        <v>568.36</v>
      </c>
    </row>
    <row r="183" spans="2:6" ht="12" customHeight="1" x14ac:dyDescent="0.3">
      <c r="B183" s="81">
        <v>44166</v>
      </c>
      <c r="C183" s="91">
        <v>1666.58</v>
      </c>
      <c r="D183" s="85">
        <v>5.98</v>
      </c>
      <c r="E183" s="86">
        <v>660.07</v>
      </c>
      <c r="F183" s="12">
        <f t="shared" si="2"/>
        <v>660.07</v>
      </c>
    </row>
    <row r="184" spans="2:6" ht="12" customHeight="1" x14ac:dyDescent="0.3">
      <c r="B184" s="81">
        <v>44197</v>
      </c>
      <c r="C184" s="91">
        <v>3824.34</v>
      </c>
      <c r="D184" s="83">
        <v>6.34</v>
      </c>
      <c r="E184" s="84">
        <v>697.01</v>
      </c>
      <c r="F184" s="12">
        <f t="shared" si="2"/>
        <v>697.01</v>
      </c>
    </row>
    <row r="185" spans="2:6" ht="12" customHeight="1" x14ac:dyDescent="0.3">
      <c r="B185" s="81">
        <v>44228</v>
      </c>
      <c r="C185" s="91">
        <v>5325.48</v>
      </c>
      <c r="D185" s="83">
        <v>6.06</v>
      </c>
      <c r="E185" s="84">
        <v>664.49</v>
      </c>
      <c r="F185" s="12">
        <f t="shared" si="2"/>
        <v>664.49</v>
      </c>
    </row>
    <row r="186" spans="2:6" ht="12" customHeight="1" x14ac:dyDescent="0.3">
      <c r="B186" s="81">
        <v>44256</v>
      </c>
      <c r="C186" s="91">
        <v>4317.75</v>
      </c>
      <c r="D186" s="83">
        <v>4.96</v>
      </c>
      <c r="E186" s="84">
        <v>544.14</v>
      </c>
      <c r="F186" s="12">
        <f t="shared" si="2"/>
        <v>544.14</v>
      </c>
    </row>
    <row r="187" spans="2:6" ht="12" customHeight="1" x14ac:dyDescent="0.3">
      <c r="B187" s="81">
        <v>44287</v>
      </c>
      <c r="C187" s="91">
        <v>2196.29</v>
      </c>
      <c r="D187" s="83">
        <v>4.04</v>
      </c>
      <c r="E187" s="84">
        <v>435.74</v>
      </c>
      <c r="F187" s="12">
        <f t="shared" si="2"/>
        <v>435.74</v>
      </c>
    </row>
    <row r="188" spans="2:6" ht="12" customHeight="1" x14ac:dyDescent="0.3">
      <c r="B188" s="81">
        <v>44317</v>
      </c>
      <c r="C188" s="85" t="s">
        <v>71</v>
      </c>
      <c r="D188" s="83"/>
      <c r="E188" s="84">
        <v>0</v>
      </c>
      <c r="F188" s="12">
        <f t="shared" si="2"/>
        <v>548.12333333333333</v>
      </c>
    </row>
    <row r="189" spans="2:6" ht="12" customHeight="1" x14ac:dyDescent="0.3">
      <c r="B189" s="81">
        <v>44348</v>
      </c>
      <c r="C189" s="85">
        <v>501.79</v>
      </c>
      <c r="D189" s="83">
        <v>5.0999999999999996</v>
      </c>
      <c r="E189" s="84">
        <v>550.70000000000005</v>
      </c>
      <c r="F189" s="12">
        <f t="shared" si="2"/>
        <v>550.70000000000005</v>
      </c>
    </row>
    <row r="190" spans="2:6" ht="12" customHeight="1" x14ac:dyDescent="0.3">
      <c r="B190" s="81">
        <v>44378</v>
      </c>
      <c r="C190" s="91">
        <v>1277.97</v>
      </c>
      <c r="D190" s="83">
        <v>6.23</v>
      </c>
      <c r="E190" s="84">
        <v>674.11</v>
      </c>
      <c r="F190" s="12">
        <f t="shared" si="2"/>
        <v>674.11</v>
      </c>
    </row>
    <row r="191" spans="2:6" ht="12" customHeight="1" x14ac:dyDescent="0.3">
      <c r="B191" s="81">
        <v>44409</v>
      </c>
      <c r="C191" s="91">
        <v>1479.13</v>
      </c>
      <c r="D191" s="83">
        <v>6.26</v>
      </c>
      <c r="E191" s="84">
        <v>683.88</v>
      </c>
      <c r="F191" s="12">
        <f t="shared" si="2"/>
        <v>683.88</v>
      </c>
    </row>
    <row r="192" spans="2:6" ht="12" customHeight="1" x14ac:dyDescent="0.3">
      <c r="B192" s="81">
        <v>44440</v>
      </c>
      <c r="C192" s="91">
        <v>1889.41</v>
      </c>
      <c r="D192" s="83">
        <v>6.03</v>
      </c>
      <c r="E192" s="84">
        <v>664.37</v>
      </c>
      <c r="F192" s="12">
        <f t="shared" si="2"/>
        <v>664.37</v>
      </c>
    </row>
    <row r="193" spans="2:6" ht="12" customHeight="1" x14ac:dyDescent="0.3">
      <c r="B193" s="81">
        <v>44470</v>
      </c>
      <c r="C193" s="85">
        <v>999.1</v>
      </c>
      <c r="D193" s="83">
        <v>6.05</v>
      </c>
      <c r="E193" s="84">
        <v>670.88</v>
      </c>
      <c r="F193" s="12">
        <f t="shared" si="2"/>
        <v>670.88</v>
      </c>
    </row>
    <row r="194" spans="2:6" ht="12" customHeight="1" x14ac:dyDescent="0.3">
      <c r="B194" s="81">
        <v>44501</v>
      </c>
      <c r="C194" s="91">
        <v>3538.5</v>
      </c>
      <c r="D194" s="83">
        <v>6.92</v>
      </c>
      <c r="E194" s="84">
        <v>775.27</v>
      </c>
      <c r="F194" s="12">
        <f t="shared" si="2"/>
        <v>775.27</v>
      </c>
    </row>
    <row r="195" spans="2:6" ht="12" customHeight="1" x14ac:dyDescent="0.3">
      <c r="B195" s="81">
        <v>44531</v>
      </c>
      <c r="C195" s="91">
        <v>2815.88</v>
      </c>
      <c r="D195" s="83">
        <v>6.98</v>
      </c>
      <c r="E195" s="84">
        <v>789.2</v>
      </c>
      <c r="F195" s="12">
        <f t="shared" si="2"/>
        <v>789.2</v>
      </c>
    </row>
    <row r="196" spans="2:6" ht="12" customHeight="1" x14ac:dyDescent="0.3">
      <c r="B196" s="81">
        <v>44562</v>
      </c>
      <c r="C196" s="91">
        <v>5990.24</v>
      </c>
      <c r="D196" s="83">
        <v>6.72</v>
      </c>
      <c r="E196" s="84">
        <v>761.62</v>
      </c>
      <c r="F196" s="12">
        <f t="shared" si="2"/>
        <v>761.62</v>
      </c>
    </row>
    <row r="197" spans="2:6" ht="12" customHeight="1" x14ac:dyDescent="0.3">
      <c r="B197" s="81">
        <v>44593</v>
      </c>
      <c r="C197" s="91">
        <v>6270.87</v>
      </c>
      <c r="D197" s="83">
        <v>6.42</v>
      </c>
      <c r="E197" s="84">
        <v>729.67</v>
      </c>
      <c r="F197" s="12">
        <f t="shared" si="2"/>
        <v>729.67</v>
      </c>
    </row>
    <row r="198" spans="2:6" ht="12" customHeight="1" x14ac:dyDescent="0.3">
      <c r="B198" s="81">
        <v>44621</v>
      </c>
      <c r="C198" s="91">
        <v>6645.52</v>
      </c>
      <c r="D198" s="83">
        <v>4.99</v>
      </c>
      <c r="E198" s="84">
        <v>571.34</v>
      </c>
      <c r="F198" s="12">
        <f t="shared" si="2"/>
        <v>571.34</v>
      </c>
    </row>
    <row r="199" spans="2:6" ht="12" customHeight="1" x14ac:dyDescent="0.3">
      <c r="B199" s="81">
        <v>44652</v>
      </c>
      <c r="C199" s="91">
        <v>1845.56</v>
      </c>
      <c r="D199" s="83">
        <v>4.49</v>
      </c>
      <c r="E199" s="84">
        <v>519.02</v>
      </c>
      <c r="F199" s="12">
        <f t="shared" si="2"/>
        <v>519.02</v>
      </c>
    </row>
    <row r="200" spans="2:6" ht="12" customHeight="1" x14ac:dyDescent="0.3">
      <c r="B200" s="81">
        <v>44682</v>
      </c>
      <c r="C200" s="85">
        <v>490.61</v>
      </c>
      <c r="D200" s="83">
        <v>3.65</v>
      </c>
      <c r="E200" s="84">
        <v>424.23</v>
      </c>
      <c r="F200" s="12">
        <f t="shared" ref="F200:F243" si="3">IF(E200=0,AVERAGE(E197:E199),E200)</f>
        <v>424.23</v>
      </c>
    </row>
    <row r="201" spans="2:6" ht="12" customHeight="1" x14ac:dyDescent="0.3">
      <c r="B201" s="81">
        <v>44713</v>
      </c>
      <c r="C201" s="85">
        <v>304.08999999999997</v>
      </c>
      <c r="D201" s="83">
        <v>5.34</v>
      </c>
      <c r="E201" s="84">
        <v>627.29</v>
      </c>
      <c r="F201" s="12">
        <f t="shared" si="3"/>
        <v>627.29</v>
      </c>
    </row>
    <row r="202" spans="2:6" ht="12" customHeight="1" x14ac:dyDescent="0.3">
      <c r="B202" s="81">
        <v>44743</v>
      </c>
      <c r="C202" s="91">
        <v>2111.3000000000002</v>
      </c>
      <c r="D202" s="83">
        <v>5.61</v>
      </c>
      <c r="E202" s="84">
        <v>663.91</v>
      </c>
      <c r="F202" s="12">
        <f t="shared" si="3"/>
        <v>663.91</v>
      </c>
    </row>
    <row r="203" spans="2:6" ht="12" customHeight="1" x14ac:dyDescent="0.3">
      <c r="B203" s="81">
        <v>44774</v>
      </c>
      <c r="C203" s="91">
        <v>4379.93</v>
      </c>
      <c r="D203" s="83">
        <v>5.33</v>
      </c>
      <c r="E203" s="84">
        <v>637.1</v>
      </c>
      <c r="F203" s="12">
        <f t="shared" si="3"/>
        <v>637.1</v>
      </c>
    </row>
    <row r="204" spans="2:6" ht="12" customHeight="1" x14ac:dyDescent="0.3">
      <c r="B204" s="81">
        <v>44805</v>
      </c>
      <c r="C204" s="91">
        <v>3409.48</v>
      </c>
      <c r="D204" s="83">
        <v>4.8899999999999997</v>
      </c>
      <c r="E204" s="84">
        <v>588.98</v>
      </c>
      <c r="F204" s="12">
        <f t="shared" si="3"/>
        <v>588.98</v>
      </c>
    </row>
    <row r="205" spans="2:6" ht="12" customHeight="1" x14ac:dyDescent="0.3">
      <c r="B205" s="81">
        <v>44835</v>
      </c>
      <c r="C205" s="91">
        <v>3015.01</v>
      </c>
      <c r="D205" s="83">
        <v>4.08</v>
      </c>
      <c r="E205" s="84">
        <v>494.08</v>
      </c>
      <c r="F205" s="12">
        <f t="shared" si="3"/>
        <v>494.08</v>
      </c>
    </row>
    <row r="206" spans="2:6" ht="12" customHeight="1" x14ac:dyDescent="0.3">
      <c r="B206" s="81">
        <v>44866</v>
      </c>
      <c r="C206" s="91">
        <v>1774.86</v>
      </c>
      <c r="D206" s="83">
        <v>3.55</v>
      </c>
      <c r="E206" s="84">
        <v>433.3</v>
      </c>
      <c r="F206" s="12">
        <f t="shared" si="3"/>
        <v>433.3</v>
      </c>
    </row>
    <row r="207" spans="2:6" ht="12" customHeight="1" x14ac:dyDescent="0.3">
      <c r="B207" s="81">
        <v>44896</v>
      </c>
      <c r="C207" s="91">
        <v>1613.48</v>
      </c>
      <c r="D207" s="83">
        <v>3.77</v>
      </c>
      <c r="E207" s="84">
        <v>463.26</v>
      </c>
      <c r="F207" s="12">
        <f t="shared" si="3"/>
        <v>463.26</v>
      </c>
    </row>
    <row r="208" spans="2:6" ht="12" customHeight="1" x14ac:dyDescent="0.3">
      <c r="B208" s="81">
        <v>44927</v>
      </c>
      <c r="C208" s="91">
        <v>4439.6499999999996</v>
      </c>
      <c r="D208" s="83">
        <v>4.87</v>
      </c>
      <c r="E208" s="86">
        <v>603.30999999999995</v>
      </c>
      <c r="F208" s="12">
        <f t="shared" si="3"/>
        <v>603.30999999999995</v>
      </c>
    </row>
    <row r="209" spans="2:6" ht="12" customHeight="1" x14ac:dyDescent="0.3">
      <c r="B209" s="81">
        <v>44958</v>
      </c>
      <c r="C209" s="91">
        <v>5598.25</v>
      </c>
      <c r="D209" s="83">
        <v>5.41</v>
      </c>
      <c r="E209" s="86">
        <v>680.21</v>
      </c>
      <c r="F209" s="12">
        <f t="shared" si="3"/>
        <v>680.21</v>
      </c>
    </row>
    <row r="210" spans="2:6" ht="12" customHeight="1" x14ac:dyDescent="0.3">
      <c r="B210" s="81">
        <v>44986</v>
      </c>
      <c r="C210" s="91">
        <v>5072.5</v>
      </c>
      <c r="D210" s="83">
        <v>4.8</v>
      </c>
      <c r="E210" s="86">
        <v>621.54999999999995</v>
      </c>
      <c r="F210" s="12">
        <f t="shared" si="3"/>
        <v>621.54999999999995</v>
      </c>
    </row>
    <row r="211" spans="2:6" ht="12" customHeight="1" x14ac:dyDescent="0.3">
      <c r="B211" s="81">
        <v>45017</v>
      </c>
      <c r="C211" s="91">
        <v>4407.45</v>
      </c>
      <c r="D211" s="83">
        <v>4.22</v>
      </c>
      <c r="E211" s="86">
        <v>565.89</v>
      </c>
      <c r="F211" s="12">
        <f t="shared" si="3"/>
        <v>565.89</v>
      </c>
    </row>
    <row r="212" spans="2:6" ht="12" customHeight="1" x14ac:dyDescent="0.3">
      <c r="B212" s="81">
        <v>45047</v>
      </c>
      <c r="C212" s="91">
        <v>1373.5</v>
      </c>
      <c r="D212" s="83">
        <v>4.41</v>
      </c>
      <c r="E212" s="86">
        <v>603.87</v>
      </c>
      <c r="F212" s="12">
        <f t="shared" si="3"/>
        <v>603.87</v>
      </c>
    </row>
    <row r="213" spans="2:6" ht="12" customHeight="1" x14ac:dyDescent="0.3">
      <c r="B213" s="81">
        <v>45078</v>
      </c>
      <c r="C213" s="85">
        <v>0</v>
      </c>
      <c r="D213" s="83">
        <v>0</v>
      </c>
      <c r="E213" s="86">
        <v>0</v>
      </c>
      <c r="F213" s="198">
        <f t="shared" si="3"/>
        <v>597.10333333333335</v>
      </c>
    </row>
    <row r="214" spans="2:6" ht="12" customHeight="1" x14ac:dyDescent="0.3">
      <c r="B214" s="81">
        <v>45108</v>
      </c>
      <c r="C214" s="85">
        <v>0</v>
      </c>
      <c r="D214" s="83">
        <v>0</v>
      </c>
      <c r="E214" s="86">
        <v>0</v>
      </c>
      <c r="F214" s="12">
        <f t="shared" si="3"/>
        <v>389.92</v>
      </c>
    </row>
    <row r="215" spans="2:6" ht="12" customHeight="1" x14ac:dyDescent="0.3">
      <c r="B215" s="81">
        <v>45139</v>
      </c>
      <c r="C215" s="85">
        <v>154.15</v>
      </c>
      <c r="D215" s="83">
        <v>4.57</v>
      </c>
      <c r="E215" s="86">
        <v>655.84</v>
      </c>
      <c r="F215" s="12">
        <f t="shared" si="3"/>
        <v>655.84</v>
      </c>
    </row>
    <row r="216" spans="2:6" ht="12" customHeight="1" x14ac:dyDescent="0.3">
      <c r="B216" s="81">
        <v>45170</v>
      </c>
      <c r="C216" s="85">
        <v>339.85</v>
      </c>
      <c r="D216" s="83">
        <v>4.67</v>
      </c>
      <c r="E216" s="86">
        <v>685.08</v>
      </c>
      <c r="F216" s="12">
        <f t="shared" si="3"/>
        <v>685.08</v>
      </c>
    </row>
    <row r="217" spans="2:6" ht="12" customHeight="1" x14ac:dyDescent="0.3">
      <c r="B217" s="81">
        <v>45200</v>
      </c>
      <c r="C217" s="91">
        <v>1419</v>
      </c>
      <c r="D217" s="83">
        <v>3.99</v>
      </c>
      <c r="E217" s="86">
        <v>594.62</v>
      </c>
      <c r="F217" s="12">
        <f t="shared" si="3"/>
        <v>594.62</v>
      </c>
    </row>
    <row r="218" spans="2:6" ht="12" customHeight="1" x14ac:dyDescent="0.3">
      <c r="B218" s="81">
        <v>45231</v>
      </c>
      <c r="C218" s="91">
        <v>1677</v>
      </c>
      <c r="D218" s="83">
        <v>3.69</v>
      </c>
      <c r="E218" s="86">
        <v>559.87</v>
      </c>
      <c r="F218" s="12">
        <f t="shared" si="3"/>
        <v>559.87</v>
      </c>
    </row>
    <row r="219" spans="2:6" ht="12" customHeight="1" x14ac:dyDescent="0.3">
      <c r="B219" s="81">
        <v>45261</v>
      </c>
      <c r="C219" s="91">
        <v>3039</v>
      </c>
      <c r="D219" s="83">
        <v>3.81</v>
      </c>
      <c r="E219" s="86">
        <v>588.57000000000005</v>
      </c>
      <c r="F219" s="12">
        <f t="shared" si="3"/>
        <v>588.57000000000005</v>
      </c>
    </row>
    <row r="220" spans="2:6" ht="12" customHeight="1" x14ac:dyDescent="0.3">
      <c r="B220" s="81">
        <v>45292</v>
      </c>
      <c r="C220" s="138">
        <v>4553</v>
      </c>
      <c r="D220" s="139">
        <v>4.28</v>
      </c>
      <c r="E220" s="153">
        <v>684.31</v>
      </c>
      <c r="F220" s="12">
        <f t="shared" si="3"/>
        <v>684.31</v>
      </c>
    </row>
    <row r="221" spans="2:6" ht="12" customHeight="1" x14ac:dyDescent="0.3">
      <c r="B221" s="81">
        <v>45323</v>
      </c>
      <c r="C221" s="138">
        <v>4824</v>
      </c>
      <c r="D221" s="139">
        <v>5.09</v>
      </c>
      <c r="E221" s="153">
        <v>775.33</v>
      </c>
      <c r="F221" s="12">
        <f t="shared" si="3"/>
        <v>775.33</v>
      </c>
    </row>
    <row r="222" spans="2:6" ht="12" customHeight="1" x14ac:dyDescent="0.3">
      <c r="B222" s="81">
        <v>45352</v>
      </c>
      <c r="C222" s="139">
        <v>5070</v>
      </c>
      <c r="D222" s="139">
        <v>4.84</v>
      </c>
      <c r="E222" s="153">
        <v>665.42</v>
      </c>
      <c r="F222" s="12">
        <f t="shared" si="3"/>
        <v>665.42</v>
      </c>
    </row>
    <row r="223" spans="2:6" ht="12" customHeight="1" x14ac:dyDescent="0.3">
      <c r="B223" s="81">
        <v>45383</v>
      </c>
      <c r="C223" s="139">
        <v>6878.66</v>
      </c>
      <c r="D223" s="139">
        <v>4.9800000000000004</v>
      </c>
      <c r="E223" s="153">
        <v>654.32000000000005</v>
      </c>
      <c r="F223" s="12">
        <f t="shared" si="3"/>
        <v>654.32000000000005</v>
      </c>
    </row>
    <row r="224" spans="2:6" ht="12" customHeight="1" x14ac:dyDescent="0.3">
      <c r="B224" s="81">
        <v>45413</v>
      </c>
      <c r="C224" s="139">
        <v>3462.38</v>
      </c>
      <c r="D224" s="139">
        <v>3.97</v>
      </c>
      <c r="E224" s="153">
        <v>523.4</v>
      </c>
      <c r="F224" s="12">
        <f t="shared" si="3"/>
        <v>523.4</v>
      </c>
    </row>
    <row r="225" spans="2:6" ht="12" customHeight="1" x14ac:dyDescent="0.3">
      <c r="B225" s="81">
        <v>45444</v>
      </c>
      <c r="C225" s="139">
        <v>4523.7299999999996</v>
      </c>
      <c r="D225" s="139">
        <v>4.33</v>
      </c>
      <c r="E225" s="153">
        <v>560.80999999999995</v>
      </c>
      <c r="F225" s="12">
        <f t="shared" si="3"/>
        <v>560.80999999999995</v>
      </c>
    </row>
    <row r="226" spans="2:6" ht="12" customHeight="1" x14ac:dyDescent="0.3">
      <c r="B226" s="81">
        <v>45474</v>
      </c>
      <c r="C226" s="139">
        <v>939.89</v>
      </c>
      <c r="D226" s="139">
        <v>4.03</v>
      </c>
      <c r="E226" s="153">
        <v>519.79</v>
      </c>
      <c r="F226" s="12">
        <f t="shared" si="3"/>
        <v>519.79</v>
      </c>
    </row>
    <row r="227" spans="2:6" ht="12" customHeight="1" x14ac:dyDescent="0.3">
      <c r="B227" s="81">
        <v>45505</v>
      </c>
      <c r="C227" s="139">
        <v>3033.55</v>
      </c>
      <c r="D227" s="139">
        <v>4.8</v>
      </c>
      <c r="E227" s="153">
        <v>619.65</v>
      </c>
      <c r="F227" s="12">
        <f t="shared" si="3"/>
        <v>619.65</v>
      </c>
    </row>
    <row r="228" spans="2:6" ht="12" customHeight="1" x14ac:dyDescent="0.3">
      <c r="B228" s="81">
        <v>45536</v>
      </c>
      <c r="C228" s="139">
        <v>2648.57</v>
      </c>
      <c r="D228" s="139">
        <v>4.91</v>
      </c>
      <c r="E228" s="153">
        <v>633.52</v>
      </c>
      <c r="F228" s="12">
        <f t="shared" si="3"/>
        <v>633.52</v>
      </c>
    </row>
    <row r="229" spans="2:6" ht="12" customHeight="1" x14ac:dyDescent="0.3">
      <c r="B229" s="81">
        <v>45566</v>
      </c>
      <c r="C229" s="138">
        <v>3082.61</v>
      </c>
      <c r="D229" s="139">
        <v>5.08</v>
      </c>
      <c r="E229" s="153">
        <v>655.58</v>
      </c>
      <c r="F229" s="12">
        <f t="shared" si="3"/>
        <v>655.58</v>
      </c>
    </row>
    <row r="230" spans="2:6" ht="12" customHeight="1" x14ac:dyDescent="0.3">
      <c r="B230" s="81">
        <v>45597</v>
      </c>
      <c r="C230" s="138">
        <v>2540.41</v>
      </c>
      <c r="D230" s="139">
        <v>5.83</v>
      </c>
      <c r="E230" s="153">
        <v>754.14</v>
      </c>
      <c r="F230" s="12">
        <f t="shared" si="3"/>
        <v>754.14</v>
      </c>
    </row>
    <row r="231" spans="2:6" ht="12" customHeight="1" x14ac:dyDescent="0.3">
      <c r="B231" s="81">
        <v>45627</v>
      </c>
      <c r="C231" s="138">
        <v>3314.7</v>
      </c>
      <c r="D231" s="139">
        <v>6.65</v>
      </c>
      <c r="E231" s="153">
        <v>859.4</v>
      </c>
      <c r="F231" s="12">
        <f t="shared" si="3"/>
        <v>859.4</v>
      </c>
    </row>
    <row r="232" spans="2:6" ht="12" customHeight="1" x14ac:dyDescent="0.3">
      <c r="B232" s="81">
        <v>45658</v>
      </c>
      <c r="C232" s="138">
        <v>5686.32</v>
      </c>
      <c r="D232" s="139">
        <v>6.82</v>
      </c>
      <c r="E232" s="153">
        <v>882.01</v>
      </c>
      <c r="F232" s="12">
        <f t="shared" si="3"/>
        <v>882.01</v>
      </c>
    </row>
    <row r="233" spans="2:6" ht="12" customHeight="1" x14ac:dyDescent="0.3">
      <c r="B233" s="81">
        <v>45689</v>
      </c>
      <c r="C233" s="138">
        <v>7923.84</v>
      </c>
      <c r="D233" s="139">
        <v>7.31</v>
      </c>
      <c r="E233" s="153">
        <v>945.09</v>
      </c>
      <c r="F233" s="12">
        <f t="shared" si="3"/>
        <v>945.09</v>
      </c>
    </row>
    <row r="234" spans="2:6" ht="12" customHeight="1" x14ac:dyDescent="0.3">
      <c r="B234" s="81">
        <v>45717</v>
      </c>
      <c r="C234" s="138">
        <v>6511.53</v>
      </c>
      <c r="D234" s="139">
        <v>6.89</v>
      </c>
      <c r="E234" s="153">
        <v>890.02</v>
      </c>
      <c r="F234" s="12">
        <f t="shared" si="3"/>
        <v>890.02</v>
      </c>
    </row>
    <row r="235" spans="2:6" ht="12" customHeight="1" x14ac:dyDescent="0.3">
      <c r="B235" s="81">
        <v>45748</v>
      </c>
      <c r="C235" s="138">
        <v>3176.28</v>
      </c>
      <c r="D235" s="139">
        <v>6.37</v>
      </c>
      <c r="E235" s="153">
        <v>824.97</v>
      </c>
      <c r="F235" s="12">
        <f t="shared" si="3"/>
        <v>824.97</v>
      </c>
    </row>
    <row r="236" spans="2:6" ht="12" customHeight="1" x14ac:dyDescent="0.3">
      <c r="B236" s="81">
        <v>45778</v>
      </c>
      <c r="C236" s="138">
        <v>420.19</v>
      </c>
      <c r="D236" s="139">
        <v>6.97</v>
      </c>
      <c r="E236" s="153">
        <v>901.5</v>
      </c>
      <c r="F236" s="12">
        <f t="shared" si="3"/>
        <v>901.5</v>
      </c>
    </row>
    <row r="237" spans="2:6" ht="12" customHeight="1" x14ac:dyDescent="0.3">
      <c r="B237" s="81">
        <v>45809</v>
      </c>
      <c r="C237" s="138">
        <v>0</v>
      </c>
      <c r="D237" s="139">
        <v>0</v>
      </c>
      <c r="E237" s="153">
        <v>0</v>
      </c>
      <c r="F237" s="198">
        <f t="shared" si="3"/>
        <v>872.1633333333333</v>
      </c>
    </row>
    <row r="238" spans="2:6" ht="12" customHeight="1" x14ac:dyDescent="0.3">
      <c r="B238" s="81">
        <v>45839</v>
      </c>
      <c r="C238" s="138">
        <v>1702.47</v>
      </c>
      <c r="D238" s="139">
        <v>6.46</v>
      </c>
      <c r="E238" s="153">
        <v>836.07</v>
      </c>
      <c r="F238" s="12">
        <f t="shared" si="3"/>
        <v>836.07</v>
      </c>
    </row>
    <row r="239" spans="2:6" ht="12" customHeight="1" x14ac:dyDescent="0.3">
      <c r="B239" s="81">
        <v>45870</v>
      </c>
      <c r="C239" s="138">
        <v>2376.58</v>
      </c>
      <c r="D239" s="139">
        <v>7.2</v>
      </c>
      <c r="E239" s="153">
        <v>930.68</v>
      </c>
      <c r="F239" s="12">
        <f t="shared" si="3"/>
        <v>930.68</v>
      </c>
    </row>
    <row r="240" spans="2:6" ht="12" customHeight="1" x14ac:dyDescent="0.3">
      <c r="B240" s="81">
        <v>45901</v>
      </c>
      <c r="C240" s="138">
        <v>4452.5</v>
      </c>
      <c r="D240" s="139">
        <v>7.93</v>
      </c>
      <c r="E240" s="153">
        <v>1025.03</v>
      </c>
      <c r="F240" s="12">
        <f t="shared" si="3"/>
        <v>1025.03</v>
      </c>
    </row>
    <row r="241" spans="2:6" ht="12" customHeight="1" x14ac:dyDescent="0.3">
      <c r="B241" s="81">
        <v>45931</v>
      </c>
      <c r="C241" s="138">
        <v>2298.87</v>
      </c>
      <c r="D241" s="139">
        <v>7.57</v>
      </c>
      <c r="E241" s="153">
        <v>977.75</v>
      </c>
      <c r="F241" s="12">
        <f t="shared" si="3"/>
        <v>977.75</v>
      </c>
    </row>
    <row r="242" spans="2:6" ht="12" customHeight="1" x14ac:dyDescent="0.3">
      <c r="B242" s="81">
        <v>45962</v>
      </c>
      <c r="C242" s="138">
        <v>2827.75</v>
      </c>
      <c r="D242" s="139">
        <v>7.86</v>
      </c>
      <c r="E242" s="153">
        <v>1016.58</v>
      </c>
      <c r="F242" s="12">
        <f t="shared" si="3"/>
        <v>1016.58</v>
      </c>
    </row>
    <row r="243" spans="2:6" ht="12" customHeight="1" x14ac:dyDescent="0.3">
      <c r="B243" s="81">
        <v>45992</v>
      </c>
      <c r="C243" s="138">
        <v>4185.58</v>
      </c>
      <c r="D243" s="139">
        <v>7.94</v>
      </c>
      <c r="E243" s="153">
        <v>1024.43</v>
      </c>
      <c r="F243" s="12">
        <f t="shared" si="3"/>
        <v>1024.43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228C-5F9D-46C0-9E3E-EE0497A9AE5E}">
  <dimension ref="B3:I248"/>
  <sheetViews>
    <sheetView workbookViewId="0">
      <pane ySplit="3" topLeftCell="A221" activePane="bottomLeft" state="frozen"/>
      <selection pane="bottomLeft" activeCell="B231" sqref="B231:B243"/>
    </sheetView>
  </sheetViews>
  <sheetFormatPr defaultRowHeight="11.5" x14ac:dyDescent="0.25"/>
  <cols>
    <col min="1" max="1" width="8.7265625" style="1"/>
    <col min="2" max="2" width="8.81640625" style="1" bestFit="1" customWidth="1"/>
    <col min="3" max="3" width="13.1796875" style="1" bestFit="1" customWidth="1"/>
    <col min="4" max="4" width="9.90625" style="1" bestFit="1" customWidth="1"/>
    <col min="5" max="5" width="12.36328125" style="1" bestFit="1" customWidth="1"/>
    <col min="6" max="16384" width="8.7265625" style="1"/>
  </cols>
  <sheetData>
    <row r="3" spans="2:5" x14ac:dyDescent="0.25">
      <c r="B3" s="59"/>
      <c r="C3" s="160" t="s">
        <v>171</v>
      </c>
      <c r="D3" s="130" t="s">
        <v>167</v>
      </c>
      <c r="E3" s="161" t="s">
        <v>168</v>
      </c>
    </row>
    <row r="4" spans="2:5" x14ac:dyDescent="0.25">
      <c r="B4" s="58">
        <v>38718</v>
      </c>
      <c r="C4" s="66">
        <v>17939</v>
      </c>
      <c r="D4" s="24">
        <v>1.77</v>
      </c>
      <c r="E4" s="43">
        <v>127.88</v>
      </c>
    </row>
    <row r="5" spans="2:5" x14ac:dyDescent="0.25">
      <c r="B5" s="58">
        <v>38749</v>
      </c>
      <c r="C5" s="66">
        <v>11675</v>
      </c>
      <c r="D5" s="24">
        <v>2.5099999999999998</v>
      </c>
      <c r="E5" s="43">
        <v>180.01</v>
      </c>
    </row>
    <row r="6" spans="2:5" x14ac:dyDescent="0.25">
      <c r="B6" s="58">
        <v>38777</v>
      </c>
      <c r="C6" s="66">
        <v>19856</v>
      </c>
      <c r="D6" s="24">
        <v>2.11</v>
      </c>
      <c r="E6" s="43">
        <v>152.22</v>
      </c>
    </row>
    <row r="7" spans="2:5" x14ac:dyDescent="0.25">
      <c r="B7" s="58">
        <v>38808</v>
      </c>
      <c r="C7" s="66">
        <v>30422</v>
      </c>
      <c r="D7" s="24">
        <v>2.1</v>
      </c>
      <c r="E7" s="43">
        <v>149.87</v>
      </c>
    </row>
    <row r="8" spans="2:5" x14ac:dyDescent="0.25">
      <c r="B8" s="58">
        <v>38838</v>
      </c>
      <c r="C8" s="66">
        <v>26447</v>
      </c>
      <c r="D8" s="24">
        <v>2.1800000000000002</v>
      </c>
      <c r="E8" s="43">
        <v>153.71</v>
      </c>
    </row>
    <row r="9" spans="2:5" x14ac:dyDescent="0.25">
      <c r="B9" s="58">
        <v>38869</v>
      </c>
      <c r="C9" s="66">
        <v>27795</v>
      </c>
      <c r="D9" s="24">
        <v>2.2200000000000002</v>
      </c>
      <c r="E9" s="43">
        <v>162.47</v>
      </c>
    </row>
    <row r="10" spans="2:5" x14ac:dyDescent="0.25">
      <c r="B10" s="58">
        <v>38899</v>
      </c>
      <c r="C10" s="66">
        <v>23753</v>
      </c>
      <c r="D10" s="24">
        <v>2.2599999999999998</v>
      </c>
      <c r="E10" s="43">
        <v>166.71</v>
      </c>
    </row>
    <row r="11" spans="2:5" x14ac:dyDescent="0.25">
      <c r="B11" s="58">
        <v>38930</v>
      </c>
      <c r="C11" s="66">
        <v>23212</v>
      </c>
      <c r="D11" s="24">
        <v>2.17</v>
      </c>
      <c r="E11" s="43">
        <v>157.78</v>
      </c>
    </row>
    <row r="12" spans="2:5" x14ac:dyDescent="0.25">
      <c r="B12" s="58">
        <v>38961</v>
      </c>
      <c r="C12" s="66">
        <v>28648</v>
      </c>
      <c r="D12" s="24">
        <v>1.92</v>
      </c>
      <c r="E12" s="43">
        <v>140.27000000000001</v>
      </c>
    </row>
    <row r="13" spans="2:5" x14ac:dyDescent="0.25">
      <c r="B13" s="58">
        <v>38991</v>
      </c>
      <c r="C13" s="66">
        <v>34773</v>
      </c>
      <c r="D13" s="24">
        <v>1.81</v>
      </c>
      <c r="E13" s="43">
        <v>130.72</v>
      </c>
    </row>
    <row r="14" spans="2:5" x14ac:dyDescent="0.25">
      <c r="B14" s="58">
        <v>39022</v>
      </c>
      <c r="C14" s="66">
        <v>31658</v>
      </c>
      <c r="D14" s="24">
        <v>1.79</v>
      </c>
      <c r="E14" s="43">
        <v>127.62</v>
      </c>
    </row>
    <row r="15" spans="2:5" x14ac:dyDescent="0.25">
      <c r="B15" s="58">
        <v>39052</v>
      </c>
      <c r="C15" s="66">
        <v>34400</v>
      </c>
      <c r="D15" s="24">
        <v>1.78</v>
      </c>
      <c r="E15" s="43">
        <v>127.24</v>
      </c>
    </row>
    <row r="16" spans="2:5" x14ac:dyDescent="0.25">
      <c r="B16" s="58">
        <v>39083</v>
      </c>
      <c r="C16" s="66">
        <v>41606</v>
      </c>
      <c r="D16" s="24">
        <v>1.8</v>
      </c>
      <c r="E16" s="43">
        <v>125.39</v>
      </c>
    </row>
    <row r="17" spans="2:5" x14ac:dyDescent="0.25">
      <c r="B17" s="58">
        <v>39114</v>
      </c>
      <c r="C17" s="66">
        <v>34839</v>
      </c>
      <c r="D17" s="24">
        <v>1.75</v>
      </c>
      <c r="E17" s="43">
        <v>121.57</v>
      </c>
    </row>
    <row r="18" spans="2:5" x14ac:dyDescent="0.25">
      <c r="B18" s="58">
        <v>39142</v>
      </c>
      <c r="C18" s="66">
        <v>32256</v>
      </c>
      <c r="D18" s="24">
        <v>1.7</v>
      </c>
      <c r="E18" s="43">
        <v>117.86</v>
      </c>
    </row>
    <row r="19" spans="2:5" x14ac:dyDescent="0.25">
      <c r="B19" s="58">
        <v>39173</v>
      </c>
      <c r="C19" s="66">
        <v>30672</v>
      </c>
      <c r="D19" s="24">
        <v>1.65</v>
      </c>
      <c r="E19" s="43">
        <v>113.31</v>
      </c>
    </row>
    <row r="20" spans="2:5" x14ac:dyDescent="0.25">
      <c r="B20" s="58">
        <v>39203</v>
      </c>
      <c r="C20" s="66">
        <v>32075</v>
      </c>
      <c r="D20" s="24">
        <v>1.65</v>
      </c>
      <c r="E20" s="43">
        <v>110.54</v>
      </c>
    </row>
    <row r="21" spans="2:5" x14ac:dyDescent="0.25">
      <c r="B21" s="58">
        <v>39234</v>
      </c>
      <c r="C21" s="66">
        <v>27333</v>
      </c>
      <c r="D21" s="24">
        <v>1.75</v>
      </c>
      <c r="E21" s="43">
        <v>116.25</v>
      </c>
    </row>
    <row r="22" spans="2:5" x14ac:dyDescent="0.25">
      <c r="B22" s="58">
        <v>39264</v>
      </c>
      <c r="C22" s="66">
        <v>22742</v>
      </c>
      <c r="D22" s="24">
        <v>1.74</v>
      </c>
      <c r="E22" s="43">
        <v>116.29</v>
      </c>
    </row>
    <row r="23" spans="2:5" x14ac:dyDescent="0.25">
      <c r="B23" s="58">
        <v>39295</v>
      </c>
      <c r="C23" s="66">
        <v>22752</v>
      </c>
      <c r="D23" s="24">
        <v>1.75</v>
      </c>
      <c r="E23" s="43">
        <v>118</v>
      </c>
    </row>
    <row r="24" spans="2:5" x14ac:dyDescent="0.25">
      <c r="B24" s="58">
        <v>39326</v>
      </c>
      <c r="C24" s="66">
        <v>28953</v>
      </c>
      <c r="D24" s="24">
        <v>1.87</v>
      </c>
      <c r="E24" s="43">
        <v>125.17</v>
      </c>
    </row>
    <row r="25" spans="2:5" x14ac:dyDescent="0.25">
      <c r="B25" s="58">
        <v>39356</v>
      </c>
      <c r="C25" s="66">
        <v>35210</v>
      </c>
      <c r="D25" s="24">
        <v>1.87</v>
      </c>
      <c r="E25" s="43">
        <v>124.99</v>
      </c>
    </row>
    <row r="26" spans="2:5" x14ac:dyDescent="0.25">
      <c r="B26" s="58">
        <v>39387</v>
      </c>
      <c r="C26" s="66">
        <v>32336</v>
      </c>
      <c r="D26" s="24">
        <v>1.8</v>
      </c>
      <c r="E26" s="43">
        <v>115.75</v>
      </c>
    </row>
    <row r="27" spans="2:5" x14ac:dyDescent="0.25">
      <c r="B27" s="58">
        <v>39417</v>
      </c>
      <c r="C27" s="24">
        <v>28832</v>
      </c>
      <c r="D27" s="24">
        <v>1.85</v>
      </c>
      <c r="E27" s="43">
        <v>118.78</v>
      </c>
    </row>
    <row r="28" spans="2:5" x14ac:dyDescent="0.25">
      <c r="B28" s="58">
        <v>39448</v>
      </c>
      <c r="C28" s="66">
        <v>29745</v>
      </c>
      <c r="D28" s="24">
        <v>2.2799999999999998</v>
      </c>
      <c r="E28" s="43">
        <v>153.94</v>
      </c>
    </row>
    <row r="29" spans="2:5" x14ac:dyDescent="0.25">
      <c r="B29" s="58">
        <v>39479</v>
      </c>
      <c r="C29" s="66">
        <v>24094</v>
      </c>
      <c r="D29" s="24">
        <v>2.42</v>
      </c>
      <c r="E29" s="43">
        <v>169.94</v>
      </c>
    </row>
    <row r="30" spans="2:5" x14ac:dyDescent="0.25">
      <c r="B30" s="58">
        <v>39508</v>
      </c>
      <c r="C30" s="66">
        <v>16916</v>
      </c>
      <c r="D30" s="24">
        <v>2.21</v>
      </c>
      <c r="E30" s="43">
        <v>145.1</v>
      </c>
    </row>
    <row r="31" spans="2:5" x14ac:dyDescent="0.25">
      <c r="B31" s="58">
        <v>39539</v>
      </c>
      <c r="C31" s="66">
        <v>27415</v>
      </c>
      <c r="D31" s="24">
        <v>2.31</v>
      </c>
      <c r="E31" s="43">
        <v>143.66999999999999</v>
      </c>
    </row>
    <row r="32" spans="2:5" x14ac:dyDescent="0.25">
      <c r="B32" s="58">
        <v>39569</v>
      </c>
      <c r="C32" s="66">
        <v>36402</v>
      </c>
      <c r="D32" s="24">
        <v>2.2799999999999998</v>
      </c>
      <c r="E32" s="43">
        <v>140.85</v>
      </c>
    </row>
    <row r="33" spans="2:5" x14ac:dyDescent="0.25">
      <c r="B33" s="58">
        <v>39600</v>
      </c>
      <c r="C33" s="66">
        <v>22817</v>
      </c>
      <c r="D33" s="24">
        <v>2.4300000000000002</v>
      </c>
      <c r="E33" s="43">
        <v>154.16</v>
      </c>
    </row>
    <row r="34" spans="2:5" x14ac:dyDescent="0.25">
      <c r="B34" s="58">
        <v>39630</v>
      </c>
      <c r="C34" s="66">
        <v>24239</v>
      </c>
      <c r="D34" s="24">
        <v>2.5499999999999998</v>
      </c>
      <c r="E34" s="43">
        <v>169</v>
      </c>
    </row>
    <row r="35" spans="2:5" x14ac:dyDescent="0.25">
      <c r="B35" s="58">
        <v>39661</v>
      </c>
      <c r="C35" s="66">
        <v>24494</v>
      </c>
      <c r="D35" s="24">
        <v>2.77</v>
      </c>
      <c r="E35" s="43">
        <v>187.6</v>
      </c>
    </row>
    <row r="36" spans="2:5" x14ac:dyDescent="0.25">
      <c r="B36" s="58">
        <v>39692</v>
      </c>
      <c r="C36" s="66">
        <v>32061</v>
      </c>
      <c r="D36" s="24">
        <v>2.81</v>
      </c>
      <c r="E36" s="43">
        <v>195.36</v>
      </c>
    </row>
    <row r="37" spans="2:5" x14ac:dyDescent="0.25">
      <c r="B37" s="58">
        <v>39722</v>
      </c>
      <c r="C37" s="66">
        <v>35307</v>
      </c>
      <c r="D37" s="24">
        <v>2.29</v>
      </c>
      <c r="E37" s="43">
        <v>175.9</v>
      </c>
    </row>
    <row r="38" spans="2:5" x14ac:dyDescent="0.25">
      <c r="B38" s="58">
        <v>39753</v>
      </c>
      <c r="C38" s="66">
        <v>34406</v>
      </c>
      <c r="D38" s="24">
        <v>1.88</v>
      </c>
      <c r="E38" s="43">
        <v>146.80000000000001</v>
      </c>
    </row>
    <row r="39" spans="2:5" x14ac:dyDescent="0.25">
      <c r="B39" s="58">
        <v>39783</v>
      </c>
      <c r="C39" s="66">
        <v>37922</v>
      </c>
      <c r="D39" s="24">
        <v>1.89</v>
      </c>
      <c r="E39" s="43">
        <v>146.21</v>
      </c>
    </row>
    <row r="40" spans="2:5" x14ac:dyDescent="0.25">
      <c r="B40" s="58">
        <v>39814</v>
      </c>
      <c r="C40" s="66">
        <v>25484</v>
      </c>
      <c r="D40" s="24">
        <v>2.2999999999999998</v>
      </c>
      <c r="E40" s="43">
        <v>182.33</v>
      </c>
    </row>
    <row r="41" spans="2:5" x14ac:dyDescent="0.25">
      <c r="B41" s="58">
        <v>39845</v>
      </c>
      <c r="C41" s="66">
        <v>21537</v>
      </c>
      <c r="D41" s="24">
        <v>2.27</v>
      </c>
      <c r="E41" s="43">
        <v>180.89</v>
      </c>
    </row>
    <row r="42" spans="2:5" x14ac:dyDescent="0.25">
      <c r="B42" s="58">
        <v>39873</v>
      </c>
      <c r="C42" s="66">
        <v>18779</v>
      </c>
      <c r="D42" s="24">
        <v>2.3199999999999998</v>
      </c>
      <c r="E42" s="43">
        <v>184.04</v>
      </c>
    </row>
    <row r="43" spans="2:5" x14ac:dyDescent="0.25">
      <c r="B43" s="58">
        <v>39904</v>
      </c>
      <c r="C43" s="66">
        <v>18343</v>
      </c>
      <c r="D43" s="24">
        <v>2.4300000000000002</v>
      </c>
      <c r="E43" s="43">
        <v>193.53</v>
      </c>
    </row>
    <row r="44" spans="2:5" x14ac:dyDescent="0.25">
      <c r="B44" s="58">
        <v>39934</v>
      </c>
      <c r="C44" s="66">
        <v>29803</v>
      </c>
      <c r="D44" s="24">
        <v>2.4900000000000002</v>
      </c>
      <c r="E44" s="43">
        <v>194.33</v>
      </c>
    </row>
    <row r="45" spans="2:5" x14ac:dyDescent="0.25">
      <c r="B45" s="58">
        <v>39965</v>
      </c>
      <c r="C45" s="66">
        <v>25337</v>
      </c>
      <c r="D45" s="24">
        <v>2.7</v>
      </c>
      <c r="E45" s="43">
        <v>210.35</v>
      </c>
    </row>
    <row r="46" spans="2:5" x14ac:dyDescent="0.25">
      <c r="B46" s="58">
        <v>39995</v>
      </c>
      <c r="C46" s="66">
        <v>21510</v>
      </c>
      <c r="D46" s="24">
        <v>2.9</v>
      </c>
      <c r="E46" s="43">
        <v>221.79</v>
      </c>
    </row>
    <row r="47" spans="2:5" x14ac:dyDescent="0.25">
      <c r="B47" s="58">
        <v>40026</v>
      </c>
      <c r="C47" s="66">
        <v>21231</v>
      </c>
      <c r="D47" s="24">
        <v>3.06</v>
      </c>
      <c r="E47" s="43">
        <v>233.94</v>
      </c>
    </row>
    <row r="48" spans="2:5" x14ac:dyDescent="0.25">
      <c r="B48" s="58">
        <v>40057</v>
      </c>
      <c r="C48" s="66">
        <v>27434</v>
      </c>
      <c r="D48" s="24">
        <v>3.18</v>
      </c>
      <c r="E48" s="43">
        <v>240.27</v>
      </c>
    </row>
    <row r="49" spans="2:5" x14ac:dyDescent="0.25">
      <c r="B49" s="58">
        <v>40087</v>
      </c>
      <c r="C49" s="66">
        <v>22760</v>
      </c>
      <c r="D49" s="24">
        <v>2.78</v>
      </c>
      <c r="E49" s="43">
        <v>209.56</v>
      </c>
    </row>
    <row r="50" spans="2:5" x14ac:dyDescent="0.25">
      <c r="B50" s="58">
        <v>40118</v>
      </c>
      <c r="C50" s="66">
        <v>35866</v>
      </c>
      <c r="D50" s="24">
        <v>3.05</v>
      </c>
      <c r="E50" s="43">
        <v>228.3</v>
      </c>
    </row>
    <row r="51" spans="2:5" x14ac:dyDescent="0.25">
      <c r="B51" s="58">
        <v>40148</v>
      </c>
      <c r="C51" s="66">
        <v>36114</v>
      </c>
      <c r="D51" s="24">
        <v>3.21</v>
      </c>
      <c r="E51" s="43">
        <v>241.69</v>
      </c>
    </row>
    <row r="52" spans="2:5" x14ac:dyDescent="0.25">
      <c r="B52" s="58">
        <v>40179</v>
      </c>
      <c r="C52" s="66">
        <v>37713</v>
      </c>
      <c r="D52" s="24">
        <v>3</v>
      </c>
      <c r="E52" s="43">
        <v>227.47</v>
      </c>
    </row>
    <row r="53" spans="2:5" x14ac:dyDescent="0.25">
      <c r="B53" s="58">
        <v>40210</v>
      </c>
      <c r="C53" s="66">
        <v>34834</v>
      </c>
      <c r="D53" s="24">
        <v>3.13</v>
      </c>
      <c r="E53" s="43">
        <v>239.76</v>
      </c>
    </row>
    <row r="54" spans="2:5" x14ac:dyDescent="0.25">
      <c r="B54" s="58">
        <v>40238</v>
      </c>
      <c r="C54" s="66">
        <v>39175</v>
      </c>
      <c r="D54" s="24">
        <v>3.01</v>
      </c>
      <c r="E54" s="43">
        <v>230.75</v>
      </c>
    </row>
    <row r="55" spans="2:5" x14ac:dyDescent="0.25">
      <c r="B55" s="58">
        <v>40269</v>
      </c>
      <c r="C55" s="66">
        <v>35857</v>
      </c>
      <c r="D55" s="24">
        <v>2.82</v>
      </c>
      <c r="E55" s="43">
        <v>217.16</v>
      </c>
    </row>
    <row r="56" spans="2:5" x14ac:dyDescent="0.25">
      <c r="B56" s="58">
        <v>40299</v>
      </c>
      <c r="C56" s="66">
        <v>35618</v>
      </c>
      <c r="D56" s="24">
        <v>2.5299999999999998</v>
      </c>
      <c r="E56" s="43">
        <v>198.56</v>
      </c>
    </row>
    <row r="57" spans="2:5" x14ac:dyDescent="0.25">
      <c r="B57" s="58">
        <v>40330</v>
      </c>
      <c r="C57" s="66">
        <v>29815</v>
      </c>
      <c r="D57" s="24">
        <v>2.37</v>
      </c>
      <c r="E57" s="43">
        <v>192.01</v>
      </c>
    </row>
    <row r="58" spans="2:5" x14ac:dyDescent="0.25">
      <c r="B58" s="58">
        <v>40360</v>
      </c>
      <c r="C58" s="66">
        <v>24401</v>
      </c>
      <c r="D58" s="24">
        <v>2.35</v>
      </c>
      <c r="E58" s="43">
        <v>191.35</v>
      </c>
    </row>
    <row r="59" spans="2:5" x14ac:dyDescent="0.25">
      <c r="B59" s="58">
        <v>40391</v>
      </c>
      <c r="C59" s="66">
        <v>23177</v>
      </c>
      <c r="D59" s="24">
        <v>2.78</v>
      </c>
      <c r="E59" s="43">
        <v>223.88</v>
      </c>
    </row>
    <row r="60" spans="2:5" x14ac:dyDescent="0.25">
      <c r="B60" s="58">
        <v>40422</v>
      </c>
      <c r="C60" s="66">
        <v>28883</v>
      </c>
      <c r="D60" s="24">
        <v>2.8</v>
      </c>
      <c r="E60" s="43">
        <v>226.07</v>
      </c>
    </row>
    <row r="61" spans="2:5" x14ac:dyDescent="0.25">
      <c r="B61" s="58">
        <v>40452</v>
      </c>
      <c r="C61" s="66">
        <v>34140</v>
      </c>
      <c r="D61" s="24">
        <v>2.77</v>
      </c>
      <c r="E61" s="43">
        <v>223.27</v>
      </c>
    </row>
    <row r="62" spans="2:5" x14ac:dyDescent="0.25">
      <c r="B62" s="58">
        <v>40483</v>
      </c>
      <c r="C62" s="66">
        <v>37063</v>
      </c>
      <c r="D62" s="24">
        <v>2.79</v>
      </c>
      <c r="E62" s="43">
        <v>224.39</v>
      </c>
    </row>
    <row r="63" spans="2:5" x14ac:dyDescent="0.25">
      <c r="B63" s="58">
        <v>40513</v>
      </c>
      <c r="C63" s="66">
        <v>38330</v>
      </c>
      <c r="D63" s="24">
        <v>2.94</v>
      </c>
      <c r="E63" s="43">
        <v>236.88</v>
      </c>
    </row>
    <row r="64" spans="2:5" x14ac:dyDescent="0.25">
      <c r="B64" s="58">
        <v>40544</v>
      </c>
      <c r="C64" s="66">
        <v>35999</v>
      </c>
      <c r="D64" s="24">
        <v>3.16</v>
      </c>
      <c r="E64" s="43">
        <v>256.43</v>
      </c>
    </row>
    <row r="65" spans="2:5" x14ac:dyDescent="0.25">
      <c r="B65" s="58">
        <v>40575</v>
      </c>
      <c r="C65" s="66">
        <v>26711</v>
      </c>
      <c r="D65" s="24">
        <v>3.07</v>
      </c>
      <c r="E65" s="43">
        <v>250.78</v>
      </c>
    </row>
    <row r="66" spans="2:5" x14ac:dyDescent="0.25">
      <c r="B66" s="58">
        <v>40603</v>
      </c>
      <c r="C66" s="66">
        <v>22459</v>
      </c>
      <c r="D66" s="24">
        <v>2.89</v>
      </c>
      <c r="E66" s="43">
        <v>243.36</v>
      </c>
    </row>
    <row r="67" spans="2:5" x14ac:dyDescent="0.25">
      <c r="B67" s="58">
        <v>40634</v>
      </c>
      <c r="C67" s="66">
        <v>31482</v>
      </c>
      <c r="D67" s="24">
        <v>2.87</v>
      </c>
      <c r="E67" s="43">
        <v>240.62</v>
      </c>
    </row>
    <row r="68" spans="2:5" x14ac:dyDescent="0.25">
      <c r="B68" s="58">
        <v>40664</v>
      </c>
      <c r="C68" s="66">
        <v>32856</v>
      </c>
      <c r="D68" s="24">
        <v>2.88</v>
      </c>
      <c r="E68" s="43">
        <v>245.13</v>
      </c>
    </row>
    <row r="69" spans="2:5" x14ac:dyDescent="0.25">
      <c r="B69" s="58">
        <v>40695</v>
      </c>
      <c r="C69" s="66">
        <v>28955</v>
      </c>
      <c r="D69" s="24">
        <v>2.97</v>
      </c>
      <c r="E69" s="43">
        <v>264.43</v>
      </c>
    </row>
    <row r="70" spans="2:5" x14ac:dyDescent="0.25">
      <c r="B70" s="58">
        <v>40725</v>
      </c>
      <c r="C70" s="66">
        <v>26343</v>
      </c>
      <c r="D70" s="24">
        <v>3.16</v>
      </c>
      <c r="E70" s="43">
        <v>283.08</v>
      </c>
    </row>
    <row r="71" spans="2:5" x14ac:dyDescent="0.25">
      <c r="B71" s="58">
        <v>40756</v>
      </c>
      <c r="C71" s="66">
        <v>24471</v>
      </c>
      <c r="D71" s="24">
        <v>3.18</v>
      </c>
      <c r="E71" s="43">
        <v>293.85000000000002</v>
      </c>
    </row>
    <row r="72" spans="2:5" x14ac:dyDescent="0.25">
      <c r="B72" s="58">
        <v>40787</v>
      </c>
      <c r="C72" s="66">
        <v>30493</v>
      </c>
      <c r="D72" s="24">
        <v>3.05</v>
      </c>
      <c r="E72" s="43">
        <v>291.64</v>
      </c>
    </row>
    <row r="73" spans="2:5" x14ac:dyDescent="0.25">
      <c r="B73" s="58">
        <v>40817</v>
      </c>
      <c r="C73" s="66">
        <v>39926</v>
      </c>
      <c r="D73" s="24">
        <v>2.89</v>
      </c>
      <c r="E73" s="43">
        <v>290.94</v>
      </c>
    </row>
    <row r="74" spans="2:5" x14ac:dyDescent="0.25">
      <c r="B74" s="58">
        <v>40848</v>
      </c>
      <c r="C74" s="66">
        <v>36825</v>
      </c>
      <c r="D74" s="24">
        <v>2.85</v>
      </c>
      <c r="E74" s="43">
        <v>269.22000000000003</v>
      </c>
    </row>
    <row r="75" spans="2:5" x14ac:dyDescent="0.25">
      <c r="B75" s="58">
        <v>40878</v>
      </c>
      <c r="C75" s="66">
        <v>41393</v>
      </c>
      <c r="D75" s="24">
        <v>3.05</v>
      </c>
      <c r="E75" s="43">
        <v>259.70999999999998</v>
      </c>
    </row>
    <row r="76" spans="2:5" x14ac:dyDescent="0.25">
      <c r="B76" s="58">
        <v>40909</v>
      </c>
      <c r="C76" s="66">
        <v>36205</v>
      </c>
      <c r="D76" s="24">
        <v>2.91</v>
      </c>
      <c r="E76" s="43">
        <v>250.22</v>
      </c>
    </row>
    <row r="77" spans="2:5" x14ac:dyDescent="0.25">
      <c r="B77" s="58">
        <v>40940</v>
      </c>
      <c r="C77" s="66">
        <v>18412</v>
      </c>
      <c r="D77" s="24">
        <v>2.95</v>
      </c>
      <c r="E77" s="43">
        <v>245.01</v>
      </c>
    </row>
    <row r="78" spans="2:5" x14ac:dyDescent="0.25">
      <c r="B78" s="58">
        <v>40969</v>
      </c>
      <c r="C78" s="66">
        <v>17859</v>
      </c>
      <c r="D78" s="24">
        <v>3.03</v>
      </c>
      <c r="E78" s="43">
        <v>251.24</v>
      </c>
    </row>
    <row r="79" spans="2:5" x14ac:dyDescent="0.25">
      <c r="B79" s="58">
        <v>41000</v>
      </c>
      <c r="C79" s="66">
        <v>18118</v>
      </c>
      <c r="D79" s="24">
        <v>3.08</v>
      </c>
      <c r="E79" s="43">
        <v>256.13</v>
      </c>
    </row>
    <row r="80" spans="2:5" x14ac:dyDescent="0.25">
      <c r="B80" s="58">
        <v>41030</v>
      </c>
      <c r="C80" s="66">
        <v>37383</v>
      </c>
      <c r="D80" s="24">
        <v>3.14</v>
      </c>
      <c r="E80" s="43">
        <v>264.26</v>
      </c>
    </row>
    <row r="81" spans="2:5" x14ac:dyDescent="0.25">
      <c r="B81" s="58">
        <v>41061</v>
      </c>
      <c r="C81" s="66">
        <v>30197</v>
      </c>
      <c r="D81" s="24">
        <v>3.29</v>
      </c>
      <c r="E81" s="43">
        <v>279.45</v>
      </c>
    </row>
    <row r="82" spans="2:5" x14ac:dyDescent="0.25">
      <c r="B82" s="58">
        <v>41091</v>
      </c>
      <c r="C82" s="66">
        <v>24306</v>
      </c>
      <c r="D82" s="24">
        <v>3.42</v>
      </c>
      <c r="E82" s="43">
        <v>287.79000000000002</v>
      </c>
    </row>
    <row r="83" spans="2:5" x14ac:dyDescent="0.25">
      <c r="B83" s="58">
        <v>41122</v>
      </c>
      <c r="C83" s="66">
        <v>31920</v>
      </c>
      <c r="D83" s="24">
        <v>3.42</v>
      </c>
      <c r="E83" s="43">
        <v>287.70999999999998</v>
      </c>
    </row>
    <row r="84" spans="2:5" x14ac:dyDescent="0.25">
      <c r="B84" s="58">
        <v>41153</v>
      </c>
      <c r="C84" s="66">
        <v>33549</v>
      </c>
      <c r="D84" s="24">
        <v>3.31</v>
      </c>
      <c r="E84" s="43">
        <v>279.69</v>
      </c>
    </row>
    <row r="85" spans="2:5" x14ac:dyDescent="0.25">
      <c r="B85" s="58">
        <v>41183</v>
      </c>
      <c r="C85" s="66">
        <v>40235</v>
      </c>
      <c r="D85" s="24">
        <v>3.2</v>
      </c>
      <c r="E85" s="43">
        <v>272.10000000000002</v>
      </c>
    </row>
    <row r="86" spans="2:5" x14ac:dyDescent="0.25">
      <c r="B86" s="58">
        <v>41214</v>
      </c>
      <c r="C86" s="66">
        <v>39977</v>
      </c>
      <c r="D86" s="24">
        <v>3.24</v>
      </c>
      <c r="E86" s="43">
        <v>277.26</v>
      </c>
    </row>
    <row r="87" spans="2:5" x14ac:dyDescent="0.25">
      <c r="B87" s="58">
        <v>41244</v>
      </c>
      <c r="C87" s="66">
        <v>41401</v>
      </c>
      <c r="D87" s="24">
        <v>3.27</v>
      </c>
      <c r="E87" s="43">
        <v>281.47000000000003</v>
      </c>
    </row>
    <row r="88" spans="2:5" x14ac:dyDescent="0.25">
      <c r="B88" s="58">
        <v>41275</v>
      </c>
      <c r="C88" s="66">
        <v>45390</v>
      </c>
      <c r="D88" s="24">
        <v>3.28</v>
      </c>
      <c r="E88" s="43">
        <v>284.11</v>
      </c>
    </row>
    <row r="89" spans="2:5" x14ac:dyDescent="0.25">
      <c r="B89" s="58">
        <v>41306</v>
      </c>
      <c r="C89" s="66">
        <v>38503</v>
      </c>
      <c r="D89" s="24">
        <v>3.09</v>
      </c>
      <c r="E89" s="43">
        <v>270.61</v>
      </c>
    </row>
    <row r="90" spans="2:5" x14ac:dyDescent="0.25">
      <c r="B90" s="58">
        <v>41334</v>
      </c>
      <c r="C90" s="66">
        <v>33368</v>
      </c>
      <c r="D90" s="24">
        <v>2.81</v>
      </c>
      <c r="E90" s="43">
        <v>240.73</v>
      </c>
    </row>
    <row r="91" spans="2:5" x14ac:dyDescent="0.25">
      <c r="B91" s="58">
        <v>41365</v>
      </c>
      <c r="C91" s="66">
        <v>38230</v>
      </c>
      <c r="D91" s="24">
        <v>2.5</v>
      </c>
      <c r="E91" s="43">
        <v>210.09</v>
      </c>
    </row>
    <row r="92" spans="2:5" x14ac:dyDescent="0.25">
      <c r="B92" s="58">
        <v>41395</v>
      </c>
      <c r="C92" s="66">
        <v>39600</v>
      </c>
      <c r="D92" s="24">
        <v>2.56</v>
      </c>
      <c r="E92" s="43">
        <v>214.54</v>
      </c>
    </row>
    <row r="93" spans="2:5" x14ac:dyDescent="0.25">
      <c r="B93" s="58">
        <v>41426</v>
      </c>
      <c r="C93" s="66">
        <v>30530</v>
      </c>
      <c r="D93" s="24">
        <v>2.44</v>
      </c>
      <c r="E93" s="43">
        <v>208.59</v>
      </c>
    </row>
    <row r="94" spans="2:5" x14ac:dyDescent="0.25">
      <c r="B94" s="58">
        <v>41456</v>
      </c>
      <c r="C94" s="66">
        <v>26229</v>
      </c>
      <c r="D94" s="24">
        <v>2.44</v>
      </c>
      <c r="E94" s="43">
        <v>211.89</v>
      </c>
    </row>
    <row r="95" spans="2:5" x14ac:dyDescent="0.25">
      <c r="B95" s="58">
        <v>41487</v>
      </c>
      <c r="C95" s="66">
        <v>26338</v>
      </c>
      <c r="D95" s="24">
        <v>2.38</v>
      </c>
      <c r="E95" s="43">
        <v>208.13</v>
      </c>
    </row>
    <row r="96" spans="2:5" x14ac:dyDescent="0.25">
      <c r="B96" s="58">
        <v>41518</v>
      </c>
      <c r="C96" s="66">
        <v>32800</v>
      </c>
      <c r="D96" s="24">
        <v>2.19</v>
      </c>
      <c r="E96" s="43">
        <v>191.06</v>
      </c>
    </row>
    <row r="97" spans="2:5" x14ac:dyDescent="0.25">
      <c r="B97" s="58">
        <v>41548</v>
      </c>
      <c r="C97" s="66">
        <v>44283</v>
      </c>
      <c r="D97" s="24">
        <v>2.0499999999999998</v>
      </c>
      <c r="E97" s="43">
        <v>174.39</v>
      </c>
    </row>
    <row r="98" spans="2:5" x14ac:dyDescent="0.25">
      <c r="B98" s="58">
        <v>41579</v>
      </c>
      <c r="C98" s="66">
        <v>35463</v>
      </c>
      <c r="D98" s="24">
        <v>2.17</v>
      </c>
      <c r="E98" s="43">
        <v>186.71</v>
      </c>
    </row>
    <row r="99" spans="2:5" x14ac:dyDescent="0.25">
      <c r="B99" s="58">
        <v>41609</v>
      </c>
      <c r="C99" s="66">
        <v>41719</v>
      </c>
      <c r="D99" s="24">
        <v>2.4500000000000002</v>
      </c>
      <c r="E99" s="43">
        <v>211.62</v>
      </c>
    </row>
    <row r="100" spans="2:5" x14ac:dyDescent="0.25">
      <c r="B100" s="58">
        <v>41640</v>
      </c>
      <c r="C100" s="66">
        <v>44970</v>
      </c>
      <c r="D100" s="24">
        <v>2.74</v>
      </c>
      <c r="E100" s="43">
        <v>235.57</v>
      </c>
    </row>
    <row r="101" spans="2:5" x14ac:dyDescent="0.25">
      <c r="B101" s="58">
        <v>41671</v>
      </c>
      <c r="C101" s="66">
        <v>33774</v>
      </c>
      <c r="D101" s="24">
        <v>2.35</v>
      </c>
      <c r="E101" s="43">
        <v>202.55</v>
      </c>
    </row>
    <row r="102" spans="2:5" x14ac:dyDescent="0.25">
      <c r="B102" s="58">
        <v>41699</v>
      </c>
      <c r="C102" s="66">
        <v>33336</v>
      </c>
      <c r="D102" s="24">
        <v>2.16</v>
      </c>
      <c r="E102" s="43">
        <v>186.93</v>
      </c>
    </row>
    <row r="103" spans="2:5" x14ac:dyDescent="0.25">
      <c r="B103" s="58">
        <v>41730</v>
      </c>
      <c r="C103" s="66">
        <v>39975</v>
      </c>
      <c r="D103" s="24">
        <v>2.16</v>
      </c>
      <c r="E103" s="43">
        <v>187.59</v>
      </c>
    </row>
    <row r="104" spans="2:5" x14ac:dyDescent="0.25">
      <c r="B104" s="58">
        <v>41760</v>
      </c>
      <c r="C104" s="66">
        <v>41186</v>
      </c>
      <c r="D104" s="24">
        <v>2.06</v>
      </c>
      <c r="E104" s="43">
        <v>179.49</v>
      </c>
    </row>
    <row r="105" spans="2:5" x14ac:dyDescent="0.25">
      <c r="B105" s="58">
        <v>41791</v>
      </c>
      <c r="C105" s="66">
        <v>31945</v>
      </c>
      <c r="D105" s="24">
        <v>2.0299999999999998</v>
      </c>
      <c r="E105" s="43">
        <v>177.9</v>
      </c>
    </row>
    <row r="106" spans="2:5" x14ac:dyDescent="0.25">
      <c r="B106" s="58">
        <v>41821</v>
      </c>
      <c r="C106" s="66">
        <v>30790</v>
      </c>
      <c r="D106" s="24">
        <v>2.2799999999999998</v>
      </c>
      <c r="E106" s="43">
        <v>199.85</v>
      </c>
    </row>
    <row r="107" spans="2:5" x14ac:dyDescent="0.25">
      <c r="B107" s="58">
        <v>41852</v>
      </c>
      <c r="C107" s="66">
        <v>26756</v>
      </c>
      <c r="D107" s="24">
        <v>2.17</v>
      </c>
      <c r="E107" s="43">
        <v>191.27</v>
      </c>
    </row>
    <row r="108" spans="2:5" x14ac:dyDescent="0.25">
      <c r="B108" s="58">
        <v>41883</v>
      </c>
      <c r="C108" s="66">
        <v>33321</v>
      </c>
      <c r="D108" s="24">
        <v>2.0099999999999998</v>
      </c>
      <c r="E108" s="43">
        <v>178.32</v>
      </c>
    </row>
    <row r="109" spans="2:5" x14ac:dyDescent="0.25">
      <c r="B109" s="58">
        <v>41913</v>
      </c>
      <c r="C109" s="66">
        <v>45368</v>
      </c>
      <c r="D109" s="24">
        <v>2.02</v>
      </c>
      <c r="E109" s="43">
        <v>180.48</v>
      </c>
    </row>
    <row r="110" spans="2:5" x14ac:dyDescent="0.25">
      <c r="B110" s="58">
        <v>41944</v>
      </c>
      <c r="C110" s="66">
        <v>38614</v>
      </c>
      <c r="D110" s="24">
        <v>2.02</v>
      </c>
      <c r="E110" s="43">
        <v>181.71</v>
      </c>
    </row>
    <row r="111" spans="2:5" x14ac:dyDescent="0.25">
      <c r="B111" s="58">
        <v>41974</v>
      </c>
      <c r="C111" s="66">
        <v>45071</v>
      </c>
      <c r="D111" s="24">
        <v>2.0099999999999998</v>
      </c>
      <c r="E111" s="43">
        <v>181.87</v>
      </c>
    </row>
    <row r="112" spans="2:5" x14ac:dyDescent="0.25">
      <c r="B112" s="58">
        <v>42005</v>
      </c>
      <c r="C112" s="66">
        <v>41653</v>
      </c>
      <c r="D112" s="24">
        <v>2.3199999999999998</v>
      </c>
      <c r="E112" s="43">
        <v>211.8</v>
      </c>
    </row>
    <row r="113" spans="2:5" x14ac:dyDescent="0.25">
      <c r="B113" s="58">
        <v>42036</v>
      </c>
      <c r="C113" s="66">
        <v>24276</v>
      </c>
      <c r="D113" s="24">
        <v>2.42</v>
      </c>
      <c r="E113" s="43">
        <v>221.42</v>
      </c>
    </row>
    <row r="114" spans="2:5" x14ac:dyDescent="0.25">
      <c r="B114" s="58">
        <v>42064</v>
      </c>
      <c r="C114" s="66">
        <v>15688</v>
      </c>
      <c r="D114" s="24">
        <v>2.72</v>
      </c>
      <c r="E114" s="43">
        <v>249.85</v>
      </c>
    </row>
    <row r="115" spans="2:5" x14ac:dyDescent="0.25">
      <c r="B115" s="58">
        <v>42095</v>
      </c>
      <c r="C115" s="66">
        <v>23837</v>
      </c>
      <c r="D115" s="24">
        <v>2.77</v>
      </c>
      <c r="E115" s="43">
        <v>258.38</v>
      </c>
    </row>
    <row r="116" spans="2:5" x14ac:dyDescent="0.25">
      <c r="B116" s="58">
        <v>42125</v>
      </c>
      <c r="C116" s="66">
        <v>37523</v>
      </c>
      <c r="D116" s="24">
        <v>3.09</v>
      </c>
      <c r="E116" s="43">
        <v>296.7</v>
      </c>
    </row>
    <row r="117" spans="2:5" x14ac:dyDescent="0.25">
      <c r="B117" s="58">
        <v>42156</v>
      </c>
      <c r="C117" s="66">
        <v>32286</v>
      </c>
      <c r="D117" s="24">
        <v>3.27</v>
      </c>
      <c r="E117" s="43">
        <v>319.39999999999998</v>
      </c>
    </row>
    <row r="118" spans="2:5" x14ac:dyDescent="0.25">
      <c r="B118" s="58">
        <v>42186</v>
      </c>
      <c r="C118" s="66">
        <v>30942</v>
      </c>
      <c r="D118" s="24">
        <v>3.39</v>
      </c>
      <c r="E118" s="43">
        <v>343.76</v>
      </c>
    </row>
    <row r="119" spans="2:5" x14ac:dyDescent="0.25">
      <c r="B119" s="58">
        <v>42217</v>
      </c>
      <c r="C119" s="66">
        <v>28410</v>
      </c>
      <c r="D119" s="24">
        <v>3.21</v>
      </c>
      <c r="E119" s="43">
        <v>329.53</v>
      </c>
    </row>
    <row r="120" spans="2:5" x14ac:dyDescent="0.25">
      <c r="B120" s="58">
        <v>42248</v>
      </c>
      <c r="C120" s="66">
        <v>36484</v>
      </c>
      <c r="D120" s="24">
        <v>3.1</v>
      </c>
      <c r="E120" s="43">
        <v>326.69</v>
      </c>
    </row>
    <row r="121" spans="2:5" x14ac:dyDescent="0.25">
      <c r="B121" s="58">
        <v>42278</v>
      </c>
      <c r="C121" s="66">
        <v>41343</v>
      </c>
      <c r="D121" s="24">
        <v>3.24</v>
      </c>
      <c r="E121" s="43">
        <v>333.37</v>
      </c>
    </row>
    <row r="122" spans="2:5" x14ac:dyDescent="0.25">
      <c r="B122" s="58">
        <v>42309</v>
      </c>
      <c r="C122" s="66">
        <v>40382</v>
      </c>
      <c r="D122" s="24">
        <v>3.06</v>
      </c>
      <c r="E122" s="43">
        <v>312.62</v>
      </c>
    </row>
    <row r="123" spans="2:5" x14ac:dyDescent="0.25">
      <c r="B123" s="58">
        <v>42339</v>
      </c>
      <c r="C123" s="94">
        <v>46387</v>
      </c>
      <c r="D123" s="24">
        <v>3.03</v>
      </c>
      <c r="E123" s="43">
        <v>309.26</v>
      </c>
    </row>
    <row r="124" spans="2:5" x14ac:dyDescent="0.25">
      <c r="B124" s="58">
        <v>42370</v>
      </c>
      <c r="C124" s="94">
        <v>50307.83</v>
      </c>
      <c r="D124" s="24">
        <v>2.72</v>
      </c>
      <c r="E124" s="43">
        <v>278.5</v>
      </c>
    </row>
    <row r="125" spans="2:5" x14ac:dyDescent="0.25">
      <c r="B125" s="58">
        <v>42401</v>
      </c>
      <c r="C125" s="94">
        <v>43968.85</v>
      </c>
      <c r="D125" s="24">
        <v>2.48</v>
      </c>
      <c r="E125" s="43">
        <v>252.82</v>
      </c>
    </row>
    <row r="126" spans="2:5" x14ac:dyDescent="0.25">
      <c r="B126" s="58">
        <v>42430</v>
      </c>
      <c r="C126" s="94">
        <v>45329.83</v>
      </c>
      <c r="D126" s="24">
        <v>2.2999999999999998</v>
      </c>
      <c r="E126" s="43">
        <v>233.6</v>
      </c>
    </row>
    <row r="127" spans="2:5" x14ac:dyDescent="0.25">
      <c r="B127" s="58">
        <v>42461</v>
      </c>
      <c r="C127" s="94">
        <v>37570.660000000003</v>
      </c>
      <c r="D127" s="24">
        <v>2.11</v>
      </c>
      <c r="E127" s="43">
        <v>213.89</v>
      </c>
    </row>
    <row r="128" spans="2:5" x14ac:dyDescent="0.25">
      <c r="B128" s="58">
        <v>42491</v>
      </c>
      <c r="C128" s="94">
        <v>36573.480000000003</v>
      </c>
      <c r="D128" s="24">
        <v>2.21</v>
      </c>
      <c r="E128" s="43">
        <v>222.84</v>
      </c>
    </row>
    <row r="129" spans="2:5" x14ac:dyDescent="0.25">
      <c r="B129" s="58">
        <v>42522</v>
      </c>
      <c r="C129" s="94">
        <v>35602.75</v>
      </c>
      <c r="D129" s="24">
        <v>2.4</v>
      </c>
      <c r="E129" s="43">
        <v>242.5</v>
      </c>
    </row>
    <row r="130" spans="2:5" x14ac:dyDescent="0.25">
      <c r="B130" s="58">
        <v>42552</v>
      </c>
      <c r="C130" s="94">
        <v>29285.11</v>
      </c>
      <c r="D130" s="24">
        <v>2.4300000000000002</v>
      </c>
      <c r="E130" s="43">
        <v>246.44</v>
      </c>
    </row>
    <row r="131" spans="2:5" x14ac:dyDescent="0.25">
      <c r="B131" s="58">
        <v>42583</v>
      </c>
      <c r="C131" s="94">
        <v>29461.55</v>
      </c>
      <c r="D131" s="24">
        <v>2.31</v>
      </c>
      <c r="E131" s="43">
        <v>234.27</v>
      </c>
    </row>
    <row r="132" spans="2:5" x14ac:dyDescent="0.25">
      <c r="B132" s="58">
        <v>42614</v>
      </c>
      <c r="C132" s="94">
        <v>36785.39</v>
      </c>
      <c r="D132" s="24">
        <v>2.33</v>
      </c>
      <c r="E132" s="43">
        <v>235.92</v>
      </c>
    </row>
    <row r="133" spans="2:5" x14ac:dyDescent="0.25">
      <c r="B133" s="58">
        <v>42644</v>
      </c>
      <c r="C133" s="94">
        <v>41342.04</v>
      </c>
      <c r="D133" s="24">
        <v>2.39</v>
      </c>
      <c r="E133" s="43">
        <v>242.56</v>
      </c>
    </row>
    <row r="134" spans="2:5" x14ac:dyDescent="0.25">
      <c r="B134" s="58">
        <v>42675</v>
      </c>
      <c r="C134" s="94">
        <v>39903.19</v>
      </c>
      <c r="D134" s="24">
        <v>2.68</v>
      </c>
      <c r="E134" s="43">
        <v>272.7</v>
      </c>
    </row>
    <row r="135" spans="2:5" x14ac:dyDescent="0.25">
      <c r="B135" s="58">
        <v>42705</v>
      </c>
      <c r="C135" s="94">
        <v>45103.41</v>
      </c>
      <c r="D135" s="24">
        <v>2.67</v>
      </c>
      <c r="E135" s="43">
        <v>272.81</v>
      </c>
    </row>
    <row r="136" spans="2:5" x14ac:dyDescent="0.25">
      <c r="B136" s="58">
        <v>42736</v>
      </c>
      <c r="C136" s="94">
        <v>32990.699999999997</v>
      </c>
      <c r="D136" s="24">
        <v>3.05</v>
      </c>
      <c r="E136" s="43">
        <v>315.87</v>
      </c>
    </row>
    <row r="137" spans="2:5" x14ac:dyDescent="0.25">
      <c r="B137" s="58">
        <v>42767</v>
      </c>
      <c r="C137" s="94">
        <v>22604.95</v>
      </c>
      <c r="D137" s="24">
        <v>3.06</v>
      </c>
      <c r="E137" s="43">
        <v>317.02999999999997</v>
      </c>
    </row>
    <row r="138" spans="2:5" x14ac:dyDescent="0.25">
      <c r="B138" s="58">
        <v>42795</v>
      </c>
      <c r="C138" s="94">
        <v>34498.480000000003</v>
      </c>
      <c r="D138" s="24">
        <v>2.92</v>
      </c>
      <c r="E138" s="43">
        <v>300.48</v>
      </c>
    </row>
    <row r="139" spans="2:5" x14ac:dyDescent="0.25">
      <c r="B139" s="58">
        <v>42826</v>
      </c>
      <c r="C139" s="94">
        <v>31458.46</v>
      </c>
      <c r="D139" s="24">
        <v>2.87</v>
      </c>
      <c r="E139" s="43">
        <v>296.83</v>
      </c>
    </row>
    <row r="140" spans="2:5" x14ac:dyDescent="0.25">
      <c r="B140" s="58">
        <v>42856</v>
      </c>
      <c r="C140" s="94">
        <v>38822.25</v>
      </c>
      <c r="D140" s="24">
        <v>2.95</v>
      </c>
      <c r="E140" s="43">
        <v>304.48</v>
      </c>
    </row>
    <row r="141" spans="2:5" x14ac:dyDescent="0.25">
      <c r="B141" s="58">
        <v>42887</v>
      </c>
      <c r="C141" s="94">
        <v>40537.919999999998</v>
      </c>
      <c r="D141" s="24">
        <v>3.14</v>
      </c>
      <c r="E141" s="43">
        <v>324.63</v>
      </c>
    </row>
    <row r="142" spans="2:5" x14ac:dyDescent="0.25">
      <c r="B142" s="58">
        <v>42917</v>
      </c>
      <c r="C142" s="94">
        <v>31565.43</v>
      </c>
      <c r="D142" s="24">
        <v>2.99</v>
      </c>
      <c r="E142" s="43">
        <v>309.97000000000003</v>
      </c>
    </row>
    <row r="143" spans="2:5" x14ac:dyDescent="0.25">
      <c r="B143" s="58">
        <v>42948</v>
      </c>
      <c r="C143" s="94">
        <v>32693.18</v>
      </c>
      <c r="D143" s="24">
        <v>2.9</v>
      </c>
      <c r="E143" s="43">
        <v>299.52</v>
      </c>
    </row>
    <row r="144" spans="2:5" x14ac:dyDescent="0.25">
      <c r="B144" s="58">
        <v>42979</v>
      </c>
      <c r="C144" s="94">
        <v>38386.199999999997</v>
      </c>
      <c r="D144" s="24">
        <v>2.96</v>
      </c>
      <c r="E144" s="43">
        <v>304.52</v>
      </c>
    </row>
    <row r="145" spans="2:5" x14ac:dyDescent="0.25">
      <c r="B145" s="58">
        <v>43009</v>
      </c>
      <c r="C145" s="94">
        <v>43420.04</v>
      </c>
      <c r="D145" s="24">
        <v>3.06</v>
      </c>
      <c r="E145" s="43">
        <v>316.27</v>
      </c>
    </row>
    <row r="146" spans="2:5" x14ac:dyDescent="0.25">
      <c r="B146" s="58">
        <v>43040</v>
      </c>
      <c r="C146" s="94">
        <v>45373.52</v>
      </c>
      <c r="D146" s="24">
        <v>2.98</v>
      </c>
      <c r="E146" s="43">
        <v>308.62</v>
      </c>
    </row>
    <row r="147" spans="2:5" x14ac:dyDescent="0.25">
      <c r="B147" s="58">
        <v>43070</v>
      </c>
      <c r="C147" s="94">
        <v>47506.63</v>
      </c>
      <c r="D147" s="24">
        <v>2.79</v>
      </c>
      <c r="E147" s="43">
        <v>285.27999999999997</v>
      </c>
    </row>
    <row r="148" spans="2:5" x14ac:dyDescent="0.25">
      <c r="B148" s="58">
        <v>43101</v>
      </c>
      <c r="C148" s="94">
        <v>40834.42</v>
      </c>
      <c r="D148" s="24">
        <v>2.96</v>
      </c>
      <c r="E148" s="43">
        <v>304.42</v>
      </c>
    </row>
    <row r="149" spans="2:5" x14ac:dyDescent="0.25">
      <c r="B149" s="58">
        <v>43132</v>
      </c>
      <c r="C149" s="94">
        <v>27939.13</v>
      </c>
      <c r="D149" s="24">
        <v>2.98</v>
      </c>
      <c r="E149" s="43">
        <v>302.27999999999997</v>
      </c>
    </row>
    <row r="150" spans="2:5" x14ac:dyDescent="0.25">
      <c r="B150" s="58">
        <v>43160</v>
      </c>
      <c r="C150" s="94">
        <v>30986.83</v>
      </c>
      <c r="D150" s="24">
        <v>2.81</v>
      </c>
      <c r="E150" s="43">
        <v>283.89</v>
      </c>
    </row>
    <row r="151" spans="2:5" x14ac:dyDescent="0.25">
      <c r="B151" s="58">
        <v>43191</v>
      </c>
      <c r="C151" s="94">
        <v>44579.88</v>
      </c>
      <c r="D151" s="24">
        <v>2.67</v>
      </c>
      <c r="E151" s="43">
        <v>268.14999999999998</v>
      </c>
    </row>
    <row r="152" spans="2:5" x14ac:dyDescent="0.25">
      <c r="B152" s="58">
        <v>43221</v>
      </c>
      <c r="C152" s="94">
        <v>43355.79</v>
      </c>
      <c r="D152" s="24">
        <v>2.61</v>
      </c>
      <c r="E152" s="43">
        <v>262.95</v>
      </c>
    </row>
    <row r="153" spans="2:5" x14ac:dyDescent="0.25">
      <c r="B153" s="58">
        <v>43252</v>
      </c>
      <c r="C153" s="94">
        <v>43299.06</v>
      </c>
      <c r="D153" s="24">
        <v>2.5499999999999998</v>
      </c>
      <c r="E153" s="43">
        <v>257.39999999999998</v>
      </c>
    </row>
    <row r="154" spans="2:5" x14ac:dyDescent="0.25">
      <c r="B154" s="58">
        <v>43282</v>
      </c>
      <c r="C154" s="94">
        <v>35278.160000000003</v>
      </c>
      <c r="D154" s="24">
        <v>2.4900000000000002</v>
      </c>
      <c r="E154" s="43">
        <v>250.84</v>
      </c>
    </row>
    <row r="155" spans="2:5" x14ac:dyDescent="0.25">
      <c r="B155" s="58">
        <v>43313</v>
      </c>
      <c r="C155" s="94">
        <v>37432.6</v>
      </c>
      <c r="D155" s="24">
        <v>2.4</v>
      </c>
      <c r="E155" s="43">
        <v>241.2</v>
      </c>
    </row>
    <row r="156" spans="2:5" x14ac:dyDescent="0.25">
      <c r="B156" s="58">
        <v>43344</v>
      </c>
      <c r="C156" s="94">
        <v>42530.86</v>
      </c>
      <c r="D156" s="24">
        <v>2.41</v>
      </c>
      <c r="E156" s="43">
        <v>243.34</v>
      </c>
    </row>
    <row r="157" spans="2:5" x14ac:dyDescent="0.25">
      <c r="B157" s="58">
        <v>43374</v>
      </c>
      <c r="C157" s="94">
        <v>49283.64</v>
      </c>
      <c r="D157" s="24">
        <v>2.42</v>
      </c>
      <c r="E157" s="43">
        <v>244.21</v>
      </c>
    </row>
    <row r="158" spans="2:5" x14ac:dyDescent="0.25">
      <c r="B158" s="58">
        <v>43405</v>
      </c>
      <c r="C158" s="94">
        <v>45648.57</v>
      </c>
      <c r="D158" s="24">
        <v>2.36</v>
      </c>
      <c r="E158" s="43">
        <v>241.52</v>
      </c>
    </row>
    <row r="159" spans="2:5" x14ac:dyDescent="0.25">
      <c r="B159" s="58">
        <v>43435</v>
      </c>
      <c r="C159" s="94">
        <v>51829.79</v>
      </c>
      <c r="D159" s="24">
        <v>2.2999999999999998</v>
      </c>
      <c r="E159" s="43">
        <v>235.55</v>
      </c>
    </row>
    <row r="160" spans="2:5" x14ac:dyDescent="0.25">
      <c r="B160" s="58">
        <v>43466</v>
      </c>
      <c r="C160" s="94">
        <v>48386.47</v>
      </c>
      <c r="D160" s="24">
        <v>2.2999999999999998</v>
      </c>
      <c r="E160" s="43">
        <v>233.94</v>
      </c>
    </row>
    <row r="161" spans="2:5" x14ac:dyDescent="0.25">
      <c r="B161" s="58">
        <v>43497</v>
      </c>
      <c r="C161" s="94">
        <v>31445.08</v>
      </c>
      <c r="D161" s="24">
        <v>2.16</v>
      </c>
      <c r="E161" s="43">
        <v>216.03</v>
      </c>
    </row>
    <row r="162" spans="2:5" x14ac:dyDescent="0.25">
      <c r="B162" s="58">
        <v>43525</v>
      </c>
      <c r="C162" s="94">
        <v>26461.7</v>
      </c>
      <c r="D162" s="24">
        <v>2.13</v>
      </c>
      <c r="E162" s="43">
        <v>214.01</v>
      </c>
    </row>
    <row r="163" spans="2:5" x14ac:dyDescent="0.25">
      <c r="B163" s="58">
        <v>43556</v>
      </c>
      <c r="C163" s="94">
        <v>26131.3</v>
      </c>
      <c r="D163" s="24">
        <v>2.2599999999999998</v>
      </c>
      <c r="E163" s="43">
        <v>228.05</v>
      </c>
    </row>
    <row r="164" spans="2:5" x14ac:dyDescent="0.25">
      <c r="B164" s="58">
        <v>43586</v>
      </c>
      <c r="C164" s="94">
        <v>37758.639999999999</v>
      </c>
      <c r="D164" s="24">
        <v>2.39</v>
      </c>
      <c r="E164" s="43">
        <v>241.59</v>
      </c>
    </row>
    <row r="165" spans="2:5" x14ac:dyDescent="0.25">
      <c r="B165" s="58">
        <v>43617</v>
      </c>
      <c r="C165" s="94">
        <v>42425.02</v>
      </c>
      <c r="D165" s="24">
        <v>2.16</v>
      </c>
      <c r="E165" s="43">
        <v>219.02</v>
      </c>
    </row>
    <row r="166" spans="2:5" x14ac:dyDescent="0.25">
      <c r="B166" s="58">
        <v>43647</v>
      </c>
      <c r="C166" s="94">
        <v>31458.49</v>
      </c>
      <c r="D166" s="24">
        <v>1.99</v>
      </c>
      <c r="E166" s="43">
        <v>205.43</v>
      </c>
    </row>
    <row r="167" spans="2:5" x14ac:dyDescent="0.25">
      <c r="B167" s="58">
        <v>43678</v>
      </c>
      <c r="C167" s="94">
        <v>37200.22</v>
      </c>
      <c r="D167" s="24">
        <v>2.11</v>
      </c>
      <c r="E167" s="43">
        <v>217.92</v>
      </c>
    </row>
    <row r="168" spans="2:5" x14ac:dyDescent="0.25">
      <c r="B168" s="58">
        <v>43709</v>
      </c>
      <c r="C168" s="94">
        <v>35533.31</v>
      </c>
      <c r="D168" s="24">
        <v>2.21</v>
      </c>
      <c r="E168" s="43">
        <v>229.32</v>
      </c>
    </row>
    <row r="169" spans="2:5" x14ac:dyDescent="0.25">
      <c r="B169" s="58">
        <v>43739</v>
      </c>
      <c r="C169" s="94">
        <v>46305.41</v>
      </c>
      <c r="D169" s="24">
        <v>2.33</v>
      </c>
      <c r="E169" s="43">
        <v>241.62</v>
      </c>
    </row>
    <row r="170" spans="2:5" x14ac:dyDescent="0.25">
      <c r="B170" s="58">
        <v>43770</v>
      </c>
      <c r="C170" s="94">
        <v>45087.37</v>
      </c>
      <c r="D170" s="24">
        <v>2.2999999999999998</v>
      </c>
      <c r="E170" s="43">
        <v>235.3</v>
      </c>
    </row>
    <row r="171" spans="2:5" x14ac:dyDescent="0.25">
      <c r="B171" s="58">
        <v>43800</v>
      </c>
      <c r="C171" s="94">
        <v>50659.94</v>
      </c>
      <c r="D171" s="24">
        <v>2.21</v>
      </c>
      <c r="E171" s="43">
        <v>225.2</v>
      </c>
    </row>
    <row r="172" spans="2:5" x14ac:dyDescent="0.25">
      <c r="B172" s="58">
        <v>43831</v>
      </c>
      <c r="C172" s="94">
        <v>53635.65</v>
      </c>
      <c r="D172" s="24">
        <v>2.29</v>
      </c>
      <c r="E172" s="43">
        <v>231.5</v>
      </c>
    </row>
    <row r="173" spans="2:5" x14ac:dyDescent="0.25">
      <c r="B173" s="58">
        <v>43862</v>
      </c>
      <c r="C173" s="94">
        <v>49201.18</v>
      </c>
      <c r="D173" s="24">
        <v>2.13</v>
      </c>
      <c r="E173" s="43">
        <v>214.49</v>
      </c>
    </row>
    <row r="174" spans="2:5" x14ac:dyDescent="0.25">
      <c r="B174" s="58">
        <v>43891</v>
      </c>
      <c r="C174" s="94">
        <v>55732.73</v>
      </c>
      <c r="D174" s="24">
        <v>1.99</v>
      </c>
      <c r="E174" s="43">
        <v>206.53</v>
      </c>
    </row>
    <row r="175" spans="2:5" x14ac:dyDescent="0.25">
      <c r="B175" s="58">
        <v>43922</v>
      </c>
      <c r="C175" s="94">
        <v>49656.07</v>
      </c>
      <c r="D175" s="24">
        <v>2.11</v>
      </c>
      <c r="E175" s="43">
        <v>225.07</v>
      </c>
    </row>
    <row r="176" spans="2:5" x14ac:dyDescent="0.25">
      <c r="B176" s="58">
        <v>43952</v>
      </c>
      <c r="C176" s="94">
        <v>47003.93</v>
      </c>
      <c r="D176" s="24">
        <v>1.97</v>
      </c>
      <c r="E176" s="43">
        <v>210.37</v>
      </c>
    </row>
    <row r="177" spans="2:9" x14ac:dyDescent="0.25">
      <c r="B177" s="58">
        <v>43983</v>
      </c>
      <c r="C177" s="94">
        <v>46377.67</v>
      </c>
      <c r="D177" s="24">
        <v>1.86</v>
      </c>
      <c r="E177" s="43">
        <v>197.62</v>
      </c>
    </row>
    <row r="178" spans="2:9" x14ac:dyDescent="0.25">
      <c r="B178" s="58">
        <v>44013</v>
      </c>
      <c r="C178" s="94">
        <v>36554.22</v>
      </c>
      <c r="D178" s="24">
        <v>1.81</v>
      </c>
      <c r="E178" s="43">
        <v>194.15</v>
      </c>
    </row>
    <row r="179" spans="2:9" x14ac:dyDescent="0.25">
      <c r="B179" s="58">
        <v>44044</v>
      </c>
      <c r="C179" s="94">
        <v>38524.78</v>
      </c>
      <c r="D179" s="24">
        <v>2</v>
      </c>
      <c r="E179" s="43">
        <v>216.61</v>
      </c>
    </row>
    <row r="180" spans="2:9" x14ac:dyDescent="0.25">
      <c r="B180" s="58">
        <v>44075</v>
      </c>
      <c r="C180" s="94">
        <v>43412.74</v>
      </c>
      <c r="D180" s="24">
        <v>2.0299999999999998</v>
      </c>
      <c r="E180" s="43">
        <v>220.18</v>
      </c>
    </row>
    <row r="181" spans="2:9" x14ac:dyDescent="0.25">
      <c r="B181" s="58">
        <v>44105</v>
      </c>
      <c r="C181" s="94">
        <v>48274.64</v>
      </c>
      <c r="D181" s="24">
        <v>1.98</v>
      </c>
      <c r="E181" s="43">
        <v>214.85</v>
      </c>
    </row>
    <row r="182" spans="2:9" x14ac:dyDescent="0.25">
      <c r="B182" s="58">
        <v>44136</v>
      </c>
      <c r="C182" s="94">
        <v>47679.78</v>
      </c>
      <c r="D182" s="24">
        <v>1.99</v>
      </c>
      <c r="E182" s="43">
        <v>217.58</v>
      </c>
    </row>
    <row r="183" spans="2:9" x14ac:dyDescent="0.25">
      <c r="B183" s="58">
        <v>44166</v>
      </c>
      <c r="C183" s="94">
        <v>54411.94</v>
      </c>
      <c r="D183" s="24">
        <v>1.94</v>
      </c>
      <c r="E183" s="43">
        <v>215.13</v>
      </c>
    </row>
    <row r="184" spans="2:9" x14ac:dyDescent="0.25">
      <c r="B184" s="58">
        <v>44197</v>
      </c>
      <c r="C184" s="94">
        <v>48896.13</v>
      </c>
      <c r="D184" s="24">
        <v>2.0299999999999998</v>
      </c>
      <c r="E184" s="43">
        <v>222.81</v>
      </c>
    </row>
    <row r="185" spans="2:9" x14ac:dyDescent="0.25">
      <c r="B185" s="58">
        <v>44228</v>
      </c>
      <c r="C185" s="94">
        <v>43398.65</v>
      </c>
      <c r="D185" s="24">
        <v>2.1</v>
      </c>
      <c r="E185" s="43">
        <v>230.27</v>
      </c>
    </row>
    <row r="186" spans="2:9" x14ac:dyDescent="0.25">
      <c r="B186" s="58">
        <v>44256</v>
      </c>
      <c r="C186" s="94">
        <v>48692.71</v>
      </c>
      <c r="D186" s="24">
        <v>2</v>
      </c>
      <c r="E186" s="43">
        <v>219.05</v>
      </c>
    </row>
    <row r="187" spans="2:9" x14ac:dyDescent="0.25">
      <c r="B187" s="58">
        <v>44287</v>
      </c>
      <c r="C187" s="94">
        <v>44299.46</v>
      </c>
      <c r="D187" s="24">
        <v>1.9</v>
      </c>
      <c r="E187" s="43">
        <v>206.58</v>
      </c>
    </row>
    <row r="188" spans="2:9" x14ac:dyDescent="0.25">
      <c r="B188" s="58">
        <v>44317</v>
      </c>
      <c r="C188" s="94">
        <v>45321.64</v>
      </c>
      <c r="D188" s="24">
        <v>1.91</v>
      </c>
      <c r="E188" s="43">
        <v>205.22</v>
      </c>
    </row>
    <row r="189" spans="2:9" x14ac:dyDescent="0.25">
      <c r="B189" s="58">
        <v>44348</v>
      </c>
      <c r="C189" s="94">
        <v>43468.95</v>
      </c>
      <c r="D189" s="24">
        <v>1.82</v>
      </c>
      <c r="E189" s="43">
        <v>196.05</v>
      </c>
    </row>
    <row r="190" spans="2:9" x14ac:dyDescent="0.25">
      <c r="B190" s="58">
        <v>44378</v>
      </c>
      <c r="C190" s="94">
        <v>34732.370000000003</v>
      </c>
      <c r="D190" s="24">
        <v>1.75</v>
      </c>
      <c r="E190" s="43">
        <v>189.2</v>
      </c>
      <c r="I190" s="93"/>
    </row>
    <row r="191" spans="2:9" x14ac:dyDescent="0.25">
      <c r="B191" s="58">
        <v>44409</v>
      </c>
      <c r="C191" s="94">
        <v>33635.040000000001</v>
      </c>
      <c r="D191" s="24">
        <v>2.1</v>
      </c>
      <c r="E191" s="43">
        <v>229.51</v>
      </c>
    </row>
    <row r="192" spans="2:9" x14ac:dyDescent="0.25">
      <c r="B192" s="58">
        <v>44440</v>
      </c>
      <c r="C192" s="94">
        <v>43185.49</v>
      </c>
      <c r="D192" s="24">
        <v>2.2200000000000002</v>
      </c>
      <c r="E192" s="43">
        <v>244.02</v>
      </c>
    </row>
    <row r="193" spans="2:5" x14ac:dyDescent="0.25">
      <c r="B193" s="58">
        <v>44470</v>
      </c>
      <c r="C193" s="94">
        <v>48956.89</v>
      </c>
      <c r="D193" s="24">
        <v>2.42</v>
      </c>
      <c r="E193" s="43">
        <v>267.76</v>
      </c>
    </row>
    <row r="194" spans="2:5" x14ac:dyDescent="0.25">
      <c r="B194" s="58">
        <v>44501</v>
      </c>
      <c r="C194" s="94">
        <v>50719.16</v>
      </c>
      <c r="D194" s="24">
        <v>2.48</v>
      </c>
      <c r="E194" s="43">
        <v>277.7</v>
      </c>
    </row>
    <row r="195" spans="2:5" x14ac:dyDescent="0.25">
      <c r="B195" s="58">
        <v>44531</v>
      </c>
      <c r="C195" s="94">
        <v>52526.36</v>
      </c>
      <c r="D195" s="24">
        <v>2.62</v>
      </c>
      <c r="E195" s="43">
        <v>295.87</v>
      </c>
    </row>
    <row r="196" spans="2:5" x14ac:dyDescent="0.25">
      <c r="B196" s="58">
        <v>44562</v>
      </c>
      <c r="C196" s="94">
        <v>48683.03</v>
      </c>
      <c r="D196" s="24">
        <v>2.59</v>
      </c>
      <c r="E196" s="43">
        <v>293.55</v>
      </c>
    </row>
    <row r="197" spans="2:5" x14ac:dyDescent="0.25">
      <c r="B197" s="58">
        <v>44593</v>
      </c>
      <c r="C197" s="94">
        <v>40825.99</v>
      </c>
      <c r="D197" s="24">
        <v>2.74</v>
      </c>
      <c r="E197" s="43">
        <v>311.37</v>
      </c>
    </row>
    <row r="198" spans="2:5" x14ac:dyDescent="0.25">
      <c r="B198" s="58">
        <v>44621</v>
      </c>
      <c r="C198" s="94">
        <v>46321.07</v>
      </c>
      <c r="D198" s="24">
        <v>2.59</v>
      </c>
      <c r="E198" s="43">
        <v>300.70999999999998</v>
      </c>
    </row>
    <row r="199" spans="2:5" x14ac:dyDescent="0.25">
      <c r="B199" s="58">
        <v>44652</v>
      </c>
      <c r="C199" s="94">
        <v>41171.300000000003</v>
      </c>
      <c r="D199" s="24">
        <v>2.63</v>
      </c>
      <c r="E199" s="43">
        <v>303.64999999999998</v>
      </c>
    </row>
    <row r="200" spans="2:5" x14ac:dyDescent="0.25">
      <c r="B200" s="58">
        <v>44682</v>
      </c>
      <c r="C200" s="94">
        <v>50093.25</v>
      </c>
      <c r="D200" s="24">
        <v>2.41</v>
      </c>
      <c r="E200" s="43">
        <v>280.23</v>
      </c>
    </row>
    <row r="201" spans="2:5" x14ac:dyDescent="0.25">
      <c r="B201" s="58">
        <v>44713</v>
      </c>
      <c r="C201" s="94">
        <v>43268.31</v>
      </c>
      <c r="D201" s="24">
        <v>2.44</v>
      </c>
      <c r="E201" s="43">
        <v>286.3</v>
      </c>
    </row>
    <row r="202" spans="2:5" x14ac:dyDescent="0.25">
      <c r="B202" s="58">
        <v>44743</v>
      </c>
      <c r="C202" s="94">
        <v>33854.269999999997</v>
      </c>
      <c r="D202" s="24">
        <v>2.37</v>
      </c>
      <c r="E202" s="43">
        <v>280.37</v>
      </c>
    </row>
    <row r="203" spans="2:5" x14ac:dyDescent="0.25">
      <c r="B203" s="58">
        <v>44774</v>
      </c>
      <c r="C203" s="94">
        <v>35894.58</v>
      </c>
      <c r="D203" s="24">
        <v>2.39</v>
      </c>
      <c r="E203" s="43">
        <v>285.87</v>
      </c>
    </row>
    <row r="204" spans="2:5" x14ac:dyDescent="0.25">
      <c r="B204" s="58">
        <v>44805</v>
      </c>
      <c r="C204" s="94">
        <v>38196.239999999998</v>
      </c>
      <c r="D204" s="24">
        <v>2.36</v>
      </c>
      <c r="E204" s="43">
        <v>284.43</v>
      </c>
    </row>
    <row r="205" spans="2:5" x14ac:dyDescent="0.25">
      <c r="B205" s="58">
        <v>44835</v>
      </c>
      <c r="C205" s="94">
        <v>50466.37</v>
      </c>
      <c r="D205" s="24">
        <v>2.46</v>
      </c>
      <c r="E205" s="43">
        <v>297.81</v>
      </c>
    </row>
    <row r="206" spans="2:5" x14ac:dyDescent="0.25">
      <c r="B206" s="58">
        <v>44866</v>
      </c>
      <c r="C206" s="94">
        <v>49220.26</v>
      </c>
      <c r="D206" s="24">
        <v>2.4900000000000002</v>
      </c>
      <c r="E206" s="43">
        <v>303.52</v>
      </c>
    </row>
    <row r="207" spans="2:5" x14ac:dyDescent="0.25">
      <c r="B207" s="58">
        <v>44896</v>
      </c>
      <c r="C207" s="94">
        <v>55322.62</v>
      </c>
      <c r="D207" s="24">
        <v>2.39</v>
      </c>
      <c r="E207" s="43">
        <v>294.08</v>
      </c>
    </row>
    <row r="208" spans="2:5" x14ac:dyDescent="0.25">
      <c r="B208" s="58">
        <v>44927</v>
      </c>
      <c r="C208" s="94">
        <v>54919.19</v>
      </c>
      <c r="D208" s="24">
        <v>2.33</v>
      </c>
      <c r="E208" s="43">
        <v>288.70999999999998</v>
      </c>
    </row>
    <row r="209" spans="2:5" x14ac:dyDescent="0.25">
      <c r="B209" s="58">
        <v>44958</v>
      </c>
      <c r="C209" s="94">
        <v>32730.27</v>
      </c>
      <c r="D209" s="24">
        <v>2.31</v>
      </c>
      <c r="E209" s="43">
        <v>290.67</v>
      </c>
    </row>
    <row r="210" spans="2:5" x14ac:dyDescent="0.25">
      <c r="B210" s="58">
        <v>44986</v>
      </c>
      <c r="C210" s="94">
        <v>30488.79</v>
      </c>
      <c r="D210" s="24">
        <v>2.39</v>
      </c>
      <c r="E210" s="43">
        <v>310.52</v>
      </c>
    </row>
    <row r="211" spans="2:5" x14ac:dyDescent="0.25">
      <c r="B211" s="58">
        <v>45017</v>
      </c>
      <c r="C211" s="94">
        <v>49491.39</v>
      </c>
      <c r="D211" s="24">
        <v>2.39</v>
      </c>
      <c r="E211" s="43">
        <v>320.82</v>
      </c>
    </row>
    <row r="212" spans="2:5" x14ac:dyDescent="0.25">
      <c r="B212" s="58">
        <v>45047</v>
      </c>
      <c r="C212" s="94">
        <v>57885.91</v>
      </c>
      <c r="D212" s="24">
        <v>2.19</v>
      </c>
      <c r="E212" s="43">
        <v>300.45</v>
      </c>
    </row>
    <row r="213" spans="2:5" x14ac:dyDescent="0.25">
      <c r="B213" s="58">
        <v>45078</v>
      </c>
      <c r="C213" s="94">
        <v>48127.89</v>
      </c>
      <c r="D213" s="24">
        <v>2.09</v>
      </c>
      <c r="E213" s="43">
        <v>291.87</v>
      </c>
    </row>
    <row r="214" spans="2:5" x14ac:dyDescent="0.25">
      <c r="B214" s="58">
        <v>45108</v>
      </c>
      <c r="C214" s="94">
        <v>44696.62</v>
      </c>
      <c r="D214" s="24">
        <v>2.06</v>
      </c>
      <c r="E214" s="43">
        <v>291.3</v>
      </c>
    </row>
    <row r="215" spans="2:5" x14ac:dyDescent="0.25">
      <c r="B215" s="58">
        <v>45139</v>
      </c>
      <c r="C215" s="94">
        <v>45577.65</v>
      </c>
      <c r="D215" s="24">
        <v>2.25</v>
      </c>
      <c r="E215" s="43">
        <v>323.97000000000003</v>
      </c>
    </row>
    <row r="216" spans="2:5" x14ac:dyDescent="0.25">
      <c r="B216" s="58">
        <v>45170</v>
      </c>
      <c r="C216" s="94">
        <v>48497.3</v>
      </c>
      <c r="D216" s="24">
        <v>2.25</v>
      </c>
      <c r="E216" s="43">
        <v>329.46</v>
      </c>
    </row>
    <row r="217" spans="2:5" x14ac:dyDescent="0.25">
      <c r="B217" s="58">
        <v>45200</v>
      </c>
      <c r="C217" s="94">
        <v>52792.67</v>
      </c>
      <c r="D217" s="24">
        <v>2.16</v>
      </c>
      <c r="E217" s="43">
        <v>322.60000000000002</v>
      </c>
    </row>
    <row r="218" spans="2:5" x14ac:dyDescent="0.25">
      <c r="B218" s="58">
        <v>45231</v>
      </c>
      <c r="C218" s="94">
        <v>50905.52</v>
      </c>
      <c r="D218" s="24">
        <v>2.17</v>
      </c>
      <c r="E218" s="43">
        <v>329.82</v>
      </c>
    </row>
    <row r="219" spans="2:5" x14ac:dyDescent="0.25">
      <c r="B219" s="58">
        <v>45261</v>
      </c>
      <c r="C219" s="94">
        <v>54335.96</v>
      </c>
      <c r="D219" s="2">
        <v>2.19</v>
      </c>
      <c r="E219" s="11">
        <v>337</v>
      </c>
    </row>
    <row r="220" spans="2:5" x14ac:dyDescent="0.25">
      <c r="B220" s="58">
        <v>45292</v>
      </c>
      <c r="C220" s="140">
        <v>58966.89</v>
      </c>
      <c r="D220" s="2">
        <v>2.19</v>
      </c>
      <c r="E220" s="11">
        <v>349.72</v>
      </c>
    </row>
    <row r="221" spans="2:5" x14ac:dyDescent="0.25">
      <c r="B221" s="58">
        <v>45323</v>
      </c>
      <c r="C221" s="2">
        <v>55447.32</v>
      </c>
      <c r="D221" s="2">
        <v>2.23</v>
      </c>
      <c r="E221" s="11">
        <v>338.6</v>
      </c>
    </row>
    <row r="222" spans="2:5" x14ac:dyDescent="0.25">
      <c r="B222" s="58">
        <v>45352</v>
      </c>
      <c r="C222" s="2">
        <v>52054.58</v>
      </c>
      <c r="D222" s="2">
        <v>2.15</v>
      </c>
      <c r="E222" s="11">
        <v>295.3</v>
      </c>
    </row>
    <row r="223" spans="2:5" x14ac:dyDescent="0.25">
      <c r="B223" s="58">
        <v>45383</v>
      </c>
      <c r="C223" s="2">
        <v>53852.78</v>
      </c>
      <c r="D223" s="2">
        <v>2.29</v>
      </c>
      <c r="E223" s="11">
        <v>301.3</v>
      </c>
    </row>
    <row r="224" spans="2:5" x14ac:dyDescent="0.25">
      <c r="B224" s="58">
        <v>45413</v>
      </c>
      <c r="C224" s="2">
        <v>54529.18</v>
      </c>
      <c r="D224" s="2">
        <v>2.1800000000000002</v>
      </c>
      <c r="E224" s="11">
        <v>287.08</v>
      </c>
    </row>
    <row r="225" spans="2:5" x14ac:dyDescent="0.25">
      <c r="B225" s="58">
        <v>45444</v>
      </c>
      <c r="C225" s="2">
        <v>46242.16</v>
      </c>
      <c r="D225" s="2">
        <v>2.14</v>
      </c>
      <c r="E225" s="11">
        <v>276.83</v>
      </c>
    </row>
    <row r="226" spans="2:5" x14ac:dyDescent="0.25">
      <c r="B226" s="58">
        <v>45474</v>
      </c>
      <c r="C226" s="2">
        <v>40826.14</v>
      </c>
      <c r="D226" s="2">
        <v>2.21</v>
      </c>
      <c r="E226" s="11">
        <v>287.01</v>
      </c>
    </row>
    <row r="227" spans="2:5" x14ac:dyDescent="0.25">
      <c r="B227" s="58">
        <v>45505</v>
      </c>
      <c r="C227" s="2">
        <v>38628.82</v>
      </c>
      <c r="D227" s="2">
        <v>2.2599999999999998</v>
      </c>
      <c r="E227" s="11">
        <v>292.26</v>
      </c>
    </row>
    <row r="228" spans="2:5" x14ac:dyDescent="0.25">
      <c r="B228" s="58">
        <v>45536</v>
      </c>
      <c r="C228" s="10">
        <v>42413.38</v>
      </c>
      <c r="D228" s="2">
        <v>2.0699999999999998</v>
      </c>
      <c r="E228" s="11">
        <v>267.44</v>
      </c>
    </row>
    <row r="229" spans="2:5" x14ac:dyDescent="0.25">
      <c r="B229" s="58">
        <v>45566</v>
      </c>
      <c r="C229" s="10">
        <v>50060</v>
      </c>
      <c r="D229" s="2">
        <v>2.1</v>
      </c>
      <c r="E229" s="11">
        <v>271.32</v>
      </c>
    </row>
    <row r="230" spans="2:5" x14ac:dyDescent="0.25">
      <c r="B230" s="58">
        <v>45597</v>
      </c>
      <c r="C230" s="10">
        <v>47412.59</v>
      </c>
      <c r="D230" s="2">
        <v>2.2200000000000002</v>
      </c>
      <c r="E230" s="11">
        <v>286.38</v>
      </c>
    </row>
    <row r="231" spans="2:5" x14ac:dyDescent="0.25">
      <c r="B231" s="58">
        <v>45627</v>
      </c>
      <c r="C231" s="10">
        <v>55831.68</v>
      </c>
      <c r="D231" s="2">
        <v>2.19</v>
      </c>
      <c r="E231" s="11">
        <v>283.3</v>
      </c>
    </row>
    <row r="232" spans="2:5" x14ac:dyDescent="0.25">
      <c r="B232" s="58">
        <v>45658</v>
      </c>
      <c r="C232" s="10">
        <v>54365.27</v>
      </c>
      <c r="D232" s="2">
        <v>2.2599999999999998</v>
      </c>
      <c r="E232" s="11">
        <v>292.42</v>
      </c>
    </row>
    <row r="233" spans="2:5" x14ac:dyDescent="0.25">
      <c r="B233" s="58">
        <v>45689</v>
      </c>
      <c r="C233" s="10">
        <v>44617.08</v>
      </c>
      <c r="D233" s="2">
        <v>2.25</v>
      </c>
      <c r="E233" s="11">
        <v>290.93</v>
      </c>
    </row>
    <row r="234" spans="2:5" x14ac:dyDescent="0.25">
      <c r="B234" s="58">
        <v>45717</v>
      </c>
      <c r="C234" s="10">
        <v>37932.58</v>
      </c>
      <c r="D234" s="2">
        <v>2.2200000000000002</v>
      </c>
      <c r="E234" s="11">
        <v>287.44</v>
      </c>
    </row>
    <row r="235" spans="2:5" x14ac:dyDescent="0.25">
      <c r="B235" s="58">
        <v>45748</v>
      </c>
      <c r="C235" s="10">
        <v>51781.54</v>
      </c>
      <c r="D235" s="2">
        <v>2.09</v>
      </c>
      <c r="E235" s="11">
        <v>270.45</v>
      </c>
    </row>
    <row r="236" spans="2:5" x14ac:dyDescent="0.25">
      <c r="B236" s="58">
        <v>45778</v>
      </c>
      <c r="C236" s="10">
        <v>52139.34</v>
      </c>
      <c r="D236" s="2">
        <v>1.91</v>
      </c>
      <c r="E236" s="11">
        <v>246.94</v>
      </c>
    </row>
    <row r="237" spans="2:5" x14ac:dyDescent="0.25">
      <c r="B237" s="58">
        <v>45809</v>
      </c>
      <c r="C237" s="10">
        <v>42416.01</v>
      </c>
      <c r="D237" s="2">
        <v>2.0099999999999998</v>
      </c>
      <c r="E237" s="11">
        <v>259.77</v>
      </c>
    </row>
    <row r="238" spans="2:5" x14ac:dyDescent="0.25">
      <c r="B238" s="58">
        <v>45839</v>
      </c>
      <c r="C238" s="10">
        <v>39040.43</v>
      </c>
      <c r="D238" s="2">
        <v>2.0499999999999998</v>
      </c>
      <c r="E238" s="11">
        <v>264.89</v>
      </c>
    </row>
    <row r="239" spans="2:5" x14ac:dyDescent="0.25">
      <c r="B239" s="58">
        <v>45870</v>
      </c>
      <c r="C239" s="10">
        <v>36871.69</v>
      </c>
      <c r="D239" s="2">
        <v>2.14</v>
      </c>
      <c r="E239" s="11">
        <v>276.55</v>
      </c>
    </row>
    <row r="240" spans="2:5" x14ac:dyDescent="0.25">
      <c r="B240" s="58">
        <v>45901</v>
      </c>
      <c r="C240" s="10">
        <v>42519.11</v>
      </c>
      <c r="D240" s="2">
        <v>2.09</v>
      </c>
      <c r="E240" s="11">
        <v>269.99</v>
      </c>
    </row>
    <row r="241" spans="2:5" x14ac:dyDescent="0.25">
      <c r="B241" s="58">
        <v>45931</v>
      </c>
      <c r="C241" s="10">
        <v>49700.95</v>
      </c>
      <c r="D241" s="2">
        <v>2.2400000000000002</v>
      </c>
      <c r="E241" s="11">
        <v>289.33</v>
      </c>
    </row>
    <row r="242" spans="2:5" x14ac:dyDescent="0.25">
      <c r="B242" s="58">
        <v>45962</v>
      </c>
      <c r="C242" s="10">
        <v>48276.1</v>
      </c>
      <c r="D242" s="2">
        <v>2.27</v>
      </c>
      <c r="E242" s="11">
        <v>293.19</v>
      </c>
    </row>
    <row r="243" spans="2:5" x14ac:dyDescent="0.25">
      <c r="B243" s="58">
        <v>45992</v>
      </c>
      <c r="C243" s="10"/>
      <c r="D243" s="2">
        <v>2.2599999999999998</v>
      </c>
      <c r="E243" s="11">
        <v>291.95</v>
      </c>
    </row>
    <row r="244" spans="2:5" x14ac:dyDescent="0.25">
      <c r="B244" s="58"/>
      <c r="C244" s="10"/>
      <c r="D244" s="2"/>
      <c r="E244" s="11"/>
    </row>
    <row r="245" spans="2:5" x14ac:dyDescent="0.25">
      <c r="B245" s="58"/>
      <c r="C245" s="10"/>
      <c r="D245" s="2"/>
      <c r="E245" s="11"/>
    </row>
    <row r="246" spans="2:5" x14ac:dyDescent="0.25">
      <c r="B246" s="58"/>
      <c r="C246" s="10"/>
      <c r="D246" s="2"/>
      <c r="E246" s="11"/>
    </row>
    <row r="247" spans="2:5" x14ac:dyDescent="0.25">
      <c r="B247" s="58"/>
      <c r="C247" s="10"/>
      <c r="D247" s="2"/>
      <c r="E247" s="11"/>
    </row>
    <row r="248" spans="2:5" x14ac:dyDescent="0.25">
      <c r="B248" s="58"/>
      <c r="C248" s="10"/>
      <c r="D248" s="2"/>
      <c r="E248" s="11"/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4DB7-81B2-4B28-A1D4-0291ED06A509}">
  <dimension ref="B3:H268"/>
  <sheetViews>
    <sheetView workbookViewId="0">
      <pane ySplit="4" topLeftCell="A220" activePane="bottomLeft" state="frozen"/>
      <selection pane="bottomLeft" activeCell="B222" sqref="B222:B235"/>
    </sheetView>
  </sheetViews>
  <sheetFormatPr defaultRowHeight="11.5" x14ac:dyDescent="0.25"/>
  <cols>
    <col min="1" max="1" width="8.7265625" style="1"/>
    <col min="2" max="2" width="8.90625" style="1" bestFit="1" customWidth="1"/>
    <col min="3" max="3" width="13.81640625" style="1" bestFit="1" customWidth="1"/>
    <col min="4" max="4" width="18.36328125" style="1" bestFit="1" customWidth="1"/>
    <col min="5" max="5" width="18.453125" style="1" bestFit="1" customWidth="1"/>
    <col min="6" max="6" width="19.6328125" style="1" bestFit="1" customWidth="1"/>
    <col min="7" max="7" width="12.36328125" style="1" bestFit="1" customWidth="1"/>
    <col min="8" max="8" width="13.81640625" style="1" bestFit="1" customWidth="1"/>
    <col min="9" max="16384" width="8.7265625" style="1"/>
  </cols>
  <sheetData>
    <row r="3" spans="2:8" ht="23" customHeight="1" x14ac:dyDescent="0.25">
      <c r="B3" s="59"/>
      <c r="C3" s="195" t="s">
        <v>169</v>
      </c>
      <c r="D3" s="196"/>
      <c r="E3" s="197" t="s">
        <v>46</v>
      </c>
      <c r="F3" s="196"/>
      <c r="G3" s="195" t="s">
        <v>47</v>
      </c>
      <c r="H3" s="196"/>
    </row>
    <row r="4" spans="2:8" ht="23" x14ac:dyDescent="0.25">
      <c r="B4" s="162" t="s">
        <v>45</v>
      </c>
      <c r="C4" s="101" t="s">
        <v>164</v>
      </c>
      <c r="D4" s="111" t="s">
        <v>170</v>
      </c>
      <c r="E4" s="101" t="s">
        <v>164</v>
      </c>
      <c r="F4" s="111" t="s">
        <v>170</v>
      </c>
      <c r="G4" s="101" t="s">
        <v>164</v>
      </c>
      <c r="H4" s="111" t="s">
        <v>170</v>
      </c>
    </row>
    <row r="5" spans="2:8" x14ac:dyDescent="0.25">
      <c r="B5" s="33">
        <v>38991</v>
      </c>
      <c r="C5" s="95">
        <v>2577.6999999999998</v>
      </c>
      <c r="D5" s="35">
        <v>478.4</v>
      </c>
      <c r="E5" s="95">
        <v>23827.9</v>
      </c>
      <c r="F5" s="71">
        <v>3578.2</v>
      </c>
      <c r="G5" s="67">
        <v>14268</v>
      </c>
      <c r="H5" s="71">
        <v>4373.5</v>
      </c>
    </row>
    <row r="6" spans="2:8" x14ac:dyDescent="0.25">
      <c r="B6" s="33">
        <v>39022</v>
      </c>
      <c r="C6" s="95">
        <v>3411.2</v>
      </c>
      <c r="D6" s="35">
        <v>641.70000000000005</v>
      </c>
      <c r="E6" s="95">
        <v>30413.4</v>
      </c>
      <c r="F6" s="71">
        <v>4173.8</v>
      </c>
      <c r="G6" s="67">
        <v>13329</v>
      </c>
      <c r="H6" s="71">
        <v>4180.2</v>
      </c>
    </row>
    <row r="7" spans="2:8" x14ac:dyDescent="0.25">
      <c r="B7" s="33">
        <v>39052</v>
      </c>
      <c r="C7" s="95">
        <v>2774.8</v>
      </c>
      <c r="D7" s="35">
        <v>479.4</v>
      </c>
      <c r="E7" s="95">
        <v>27228.2</v>
      </c>
      <c r="F7" s="71">
        <v>3653.9</v>
      </c>
      <c r="G7" s="67">
        <v>13167</v>
      </c>
      <c r="H7" s="71">
        <v>4403.6000000000004</v>
      </c>
    </row>
    <row r="8" spans="2:8" x14ac:dyDescent="0.25">
      <c r="B8" s="33">
        <v>39083</v>
      </c>
      <c r="C8" s="95">
        <v>2462.4</v>
      </c>
      <c r="D8" s="35">
        <v>452.6</v>
      </c>
      <c r="E8" s="95">
        <v>35974.199999999997</v>
      </c>
      <c r="F8" s="71">
        <v>4704.5</v>
      </c>
      <c r="G8" s="67">
        <v>14494</v>
      </c>
      <c r="H8" s="71">
        <v>4626.7</v>
      </c>
    </row>
    <row r="9" spans="2:8" x14ac:dyDescent="0.25">
      <c r="B9" s="33">
        <v>39114</v>
      </c>
      <c r="C9" s="95">
        <v>3388.2</v>
      </c>
      <c r="D9" s="35">
        <v>653.4</v>
      </c>
      <c r="E9" s="95">
        <v>36657.9</v>
      </c>
      <c r="F9" s="71">
        <v>4635.3999999999996</v>
      </c>
      <c r="G9" s="67">
        <v>14603</v>
      </c>
      <c r="H9" s="71">
        <v>6023.8</v>
      </c>
    </row>
    <row r="10" spans="2:8" x14ac:dyDescent="0.25">
      <c r="B10" s="33">
        <v>39142</v>
      </c>
      <c r="C10" s="95">
        <v>4916.1000000000004</v>
      </c>
      <c r="D10" s="71">
        <v>1032.7</v>
      </c>
      <c r="E10" s="95">
        <v>35964.800000000003</v>
      </c>
      <c r="F10" s="71">
        <v>4607.8999999999996</v>
      </c>
      <c r="G10" s="67">
        <v>16109</v>
      </c>
      <c r="H10" s="71">
        <v>7128.5</v>
      </c>
    </row>
    <row r="11" spans="2:8" x14ac:dyDescent="0.25">
      <c r="B11" s="33">
        <v>39173</v>
      </c>
      <c r="C11" s="95">
        <v>4482.2</v>
      </c>
      <c r="D11" s="35">
        <v>963.4</v>
      </c>
      <c r="E11" s="95">
        <v>27183.5</v>
      </c>
      <c r="F11" s="71">
        <v>3417.6</v>
      </c>
      <c r="G11" s="67">
        <v>15654</v>
      </c>
      <c r="H11" s="71">
        <v>4149.3</v>
      </c>
    </row>
    <row r="12" spans="2:8" x14ac:dyDescent="0.25">
      <c r="B12" s="33">
        <v>39203</v>
      </c>
      <c r="C12" s="95">
        <v>4860.7</v>
      </c>
      <c r="D12" s="35">
        <v>951.6</v>
      </c>
      <c r="E12" s="95">
        <v>36849.300000000003</v>
      </c>
      <c r="F12" s="71">
        <v>4519.3999999999996</v>
      </c>
      <c r="G12" s="67">
        <v>15864</v>
      </c>
      <c r="H12" s="71">
        <v>4103.8</v>
      </c>
    </row>
    <row r="13" spans="2:8" x14ac:dyDescent="0.25">
      <c r="B13" s="33">
        <v>39234</v>
      </c>
      <c r="C13" s="95">
        <v>8164.9</v>
      </c>
      <c r="D13" s="71">
        <v>1544.7</v>
      </c>
      <c r="E13" s="95">
        <v>32313.5</v>
      </c>
      <c r="F13" s="71">
        <v>3936.6</v>
      </c>
      <c r="G13" s="67">
        <v>13778</v>
      </c>
      <c r="H13" s="71">
        <v>7988.3</v>
      </c>
    </row>
    <row r="14" spans="2:8" x14ac:dyDescent="0.25">
      <c r="B14" s="33">
        <v>39264</v>
      </c>
      <c r="C14" s="95">
        <v>6052.2</v>
      </c>
      <c r="D14" s="71">
        <v>1105.2</v>
      </c>
      <c r="E14" s="95">
        <v>33697.5</v>
      </c>
      <c r="F14" s="71">
        <v>4231.6000000000004</v>
      </c>
      <c r="G14" s="67">
        <v>16306</v>
      </c>
      <c r="H14" s="71">
        <v>4915.8999999999996</v>
      </c>
    </row>
    <row r="15" spans="2:8" x14ac:dyDescent="0.25">
      <c r="B15" s="33">
        <v>39295</v>
      </c>
      <c r="C15" s="95">
        <v>5903.5</v>
      </c>
      <c r="D15" s="35">
        <v>939.9</v>
      </c>
      <c r="E15" s="95">
        <v>28670.6</v>
      </c>
      <c r="F15" s="71">
        <v>3596.1</v>
      </c>
      <c r="G15" s="67">
        <v>15581</v>
      </c>
      <c r="H15" s="71">
        <v>6842.6</v>
      </c>
    </row>
    <row r="16" spans="2:8" x14ac:dyDescent="0.25">
      <c r="B16" s="33">
        <v>39326</v>
      </c>
      <c r="C16" s="95">
        <v>7866</v>
      </c>
      <c r="D16" s="71">
        <v>1429.4</v>
      </c>
      <c r="E16" s="95">
        <v>39337</v>
      </c>
      <c r="F16" s="71">
        <v>5093</v>
      </c>
      <c r="G16" s="9"/>
      <c r="H16" s="35"/>
    </row>
    <row r="17" spans="2:8" x14ac:dyDescent="0.25">
      <c r="B17" s="33">
        <v>39356</v>
      </c>
      <c r="C17" s="95">
        <v>4698.5</v>
      </c>
      <c r="D17" s="35">
        <v>875.8</v>
      </c>
      <c r="E17" s="95">
        <v>25858</v>
      </c>
      <c r="F17" s="71">
        <v>3410.1</v>
      </c>
      <c r="G17" s="67">
        <v>18727</v>
      </c>
      <c r="H17" s="71">
        <v>5489.6</v>
      </c>
    </row>
    <row r="18" spans="2:8" x14ac:dyDescent="0.25">
      <c r="B18" s="33">
        <v>39387</v>
      </c>
      <c r="C18" s="95">
        <v>3665.5</v>
      </c>
      <c r="D18" s="35">
        <v>689.1</v>
      </c>
      <c r="E18" s="95">
        <v>31356.6</v>
      </c>
      <c r="F18" s="71">
        <v>3979.6</v>
      </c>
      <c r="G18" s="67">
        <v>18249</v>
      </c>
      <c r="H18" s="71">
        <v>6773.7</v>
      </c>
    </row>
    <row r="19" spans="2:8" x14ac:dyDescent="0.25">
      <c r="B19" s="33">
        <v>39417</v>
      </c>
      <c r="C19" s="95">
        <v>3248.1</v>
      </c>
      <c r="D19" s="35">
        <v>630.29999999999995</v>
      </c>
      <c r="E19" s="95">
        <v>20102</v>
      </c>
      <c r="F19" s="71">
        <v>2433.6999999999998</v>
      </c>
      <c r="G19" s="67">
        <v>16881</v>
      </c>
      <c r="H19" s="71">
        <v>5482.9</v>
      </c>
    </row>
    <row r="20" spans="2:8" x14ac:dyDescent="0.25">
      <c r="B20" s="33">
        <v>39448</v>
      </c>
      <c r="C20" s="95">
        <v>2698.8</v>
      </c>
      <c r="D20" s="35">
        <v>558.4</v>
      </c>
      <c r="E20" s="95">
        <v>28790.2</v>
      </c>
      <c r="F20" s="71">
        <v>4054.6</v>
      </c>
      <c r="G20" s="67">
        <v>16553</v>
      </c>
      <c r="H20" s="72">
        <v>6684</v>
      </c>
    </row>
    <row r="21" spans="2:8" x14ac:dyDescent="0.25">
      <c r="B21" s="33">
        <v>39479</v>
      </c>
      <c r="C21" s="95">
        <v>3270.3</v>
      </c>
      <c r="D21" s="35">
        <v>812.7</v>
      </c>
      <c r="E21" s="95">
        <v>32723</v>
      </c>
      <c r="F21" s="71">
        <v>5303.6</v>
      </c>
      <c r="G21" s="67">
        <v>18901</v>
      </c>
      <c r="H21" s="72">
        <v>9720</v>
      </c>
    </row>
    <row r="22" spans="2:8" x14ac:dyDescent="0.25">
      <c r="B22" s="33">
        <v>39508</v>
      </c>
      <c r="C22" s="95">
        <v>3989.2</v>
      </c>
      <c r="D22" s="71">
        <v>1071</v>
      </c>
      <c r="E22" s="95">
        <v>27943.7</v>
      </c>
      <c r="F22" s="71">
        <v>4308.3</v>
      </c>
      <c r="G22" s="67">
        <v>18927</v>
      </c>
      <c r="H22" s="72">
        <v>6538</v>
      </c>
    </row>
    <row r="23" spans="2:8" x14ac:dyDescent="0.25">
      <c r="B23" s="33">
        <v>39539</v>
      </c>
      <c r="C23" s="95">
        <v>4611.3</v>
      </c>
      <c r="D23" s="71">
        <v>1107.7</v>
      </c>
      <c r="E23" s="95">
        <v>40724.400000000001</v>
      </c>
      <c r="F23" s="71">
        <v>5464</v>
      </c>
      <c r="G23" s="67">
        <v>17969</v>
      </c>
      <c r="H23" s="72">
        <v>4257</v>
      </c>
    </row>
    <row r="24" spans="2:8" x14ac:dyDescent="0.25">
      <c r="B24" s="33">
        <v>39569</v>
      </c>
      <c r="C24" s="95">
        <v>4820.5</v>
      </c>
      <c r="D24" s="71">
        <v>1128.0999999999999</v>
      </c>
      <c r="E24" s="95">
        <v>30518.6</v>
      </c>
      <c r="F24" s="71">
        <v>4525.3999999999996</v>
      </c>
      <c r="G24" s="67">
        <v>16940</v>
      </c>
      <c r="H24" s="72">
        <v>4052</v>
      </c>
    </row>
    <row r="25" spans="2:8" x14ac:dyDescent="0.25">
      <c r="B25" s="33">
        <v>39600</v>
      </c>
      <c r="C25" s="95">
        <v>3602.7</v>
      </c>
      <c r="D25" s="35">
        <v>838.6</v>
      </c>
      <c r="E25" s="95">
        <v>31644.400000000001</v>
      </c>
      <c r="F25" s="71">
        <v>4917.2</v>
      </c>
      <c r="G25" s="67">
        <v>15312</v>
      </c>
      <c r="H25" s="72">
        <v>3480</v>
      </c>
    </row>
    <row r="26" spans="2:8" x14ac:dyDescent="0.25">
      <c r="B26" s="33">
        <v>39630</v>
      </c>
      <c r="C26" s="95">
        <v>3158.5</v>
      </c>
      <c r="D26" s="35">
        <v>769.2</v>
      </c>
      <c r="E26" s="95">
        <v>40370.6</v>
      </c>
      <c r="F26" s="71">
        <v>6667.2</v>
      </c>
      <c r="G26" s="67">
        <v>15262</v>
      </c>
      <c r="H26" s="72">
        <v>3882</v>
      </c>
    </row>
    <row r="27" spans="2:8" x14ac:dyDescent="0.25">
      <c r="B27" s="33">
        <v>39661</v>
      </c>
      <c r="C27" s="95">
        <v>3094.6</v>
      </c>
      <c r="D27" s="35">
        <v>759</v>
      </c>
      <c r="E27" s="95">
        <v>33043.300000000003</v>
      </c>
      <c r="F27" s="71">
        <v>5811.1</v>
      </c>
      <c r="G27" s="67">
        <v>13996</v>
      </c>
      <c r="H27" s="72">
        <v>3997</v>
      </c>
    </row>
    <row r="28" spans="2:8" x14ac:dyDescent="0.25">
      <c r="B28" s="33">
        <v>39692</v>
      </c>
      <c r="C28" s="95">
        <v>3348</v>
      </c>
      <c r="D28" s="35">
        <v>805</v>
      </c>
      <c r="E28" s="95">
        <v>24829.599999999999</v>
      </c>
      <c r="F28" s="71">
        <v>4986.1000000000004</v>
      </c>
      <c r="G28" s="67">
        <v>14928</v>
      </c>
      <c r="H28" s="72">
        <v>3524</v>
      </c>
    </row>
    <row r="29" spans="2:8" x14ac:dyDescent="0.25">
      <c r="B29" s="33">
        <v>39722</v>
      </c>
      <c r="C29" s="95">
        <v>2774.5</v>
      </c>
      <c r="D29" s="35">
        <v>718.2</v>
      </c>
      <c r="E29" s="95">
        <v>31955.8</v>
      </c>
      <c r="F29" s="71">
        <v>6400.4</v>
      </c>
      <c r="G29" s="67">
        <v>15579</v>
      </c>
      <c r="H29" s="72">
        <v>3968</v>
      </c>
    </row>
    <row r="30" spans="2:8" x14ac:dyDescent="0.25">
      <c r="B30" s="33">
        <v>39753</v>
      </c>
      <c r="C30" s="95">
        <v>3421.2</v>
      </c>
      <c r="D30" s="35">
        <v>909.6</v>
      </c>
      <c r="E30" s="95">
        <v>28369.5</v>
      </c>
      <c r="F30" s="71">
        <v>5140</v>
      </c>
      <c r="G30" s="67">
        <v>14740</v>
      </c>
      <c r="H30" s="72">
        <v>4029</v>
      </c>
    </row>
    <row r="31" spans="2:8" x14ac:dyDescent="0.25">
      <c r="B31" s="33">
        <v>39783</v>
      </c>
      <c r="C31" s="95">
        <v>2680.4</v>
      </c>
      <c r="D31" s="35">
        <v>648.20000000000005</v>
      </c>
      <c r="E31" s="95">
        <v>39089.5</v>
      </c>
      <c r="F31" s="71">
        <v>6251.1</v>
      </c>
      <c r="G31" s="67">
        <v>14027</v>
      </c>
      <c r="H31" s="72">
        <v>4040</v>
      </c>
    </row>
    <row r="32" spans="2:8" x14ac:dyDescent="0.25">
      <c r="B32" s="33">
        <v>39814</v>
      </c>
      <c r="C32" s="95">
        <v>4096.6000000000004</v>
      </c>
      <c r="D32" s="71">
        <v>1013.7</v>
      </c>
      <c r="E32" s="95">
        <v>34946.6</v>
      </c>
      <c r="F32" s="71">
        <v>6138.5</v>
      </c>
      <c r="G32" s="67">
        <v>16272</v>
      </c>
      <c r="H32" s="71">
        <v>4943</v>
      </c>
    </row>
    <row r="33" spans="2:8" x14ac:dyDescent="0.25">
      <c r="B33" s="33">
        <v>39845</v>
      </c>
      <c r="C33" s="95">
        <v>4308.8</v>
      </c>
      <c r="D33" s="71">
        <v>1200</v>
      </c>
      <c r="E33" s="95">
        <v>27198.9</v>
      </c>
      <c r="F33" s="71">
        <v>5110.6000000000004</v>
      </c>
      <c r="G33" s="67">
        <v>16479</v>
      </c>
      <c r="H33" s="71">
        <v>4528.6000000000004</v>
      </c>
    </row>
    <row r="34" spans="2:8" x14ac:dyDescent="0.25">
      <c r="B34" s="33">
        <v>39873</v>
      </c>
      <c r="C34" s="95">
        <v>5265</v>
      </c>
      <c r="D34" s="71">
        <v>1458.3</v>
      </c>
      <c r="E34" s="95">
        <v>28461.7</v>
      </c>
      <c r="F34" s="71">
        <v>5473.3</v>
      </c>
      <c r="G34" s="67">
        <v>17994</v>
      </c>
      <c r="H34" s="71">
        <v>4807.7</v>
      </c>
    </row>
    <row r="35" spans="2:8" x14ac:dyDescent="0.25">
      <c r="B35" s="33">
        <v>39904</v>
      </c>
      <c r="C35" s="95">
        <v>5964.4</v>
      </c>
      <c r="D35" s="71">
        <v>1529.9</v>
      </c>
      <c r="E35" s="95">
        <v>21372.2</v>
      </c>
      <c r="F35" s="71">
        <v>4238</v>
      </c>
      <c r="G35" s="67">
        <v>15197</v>
      </c>
      <c r="H35" s="71">
        <v>4054.5</v>
      </c>
    </row>
    <row r="36" spans="2:8" x14ac:dyDescent="0.25">
      <c r="B36" s="33">
        <v>39934</v>
      </c>
      <c r="C36" s="95">
        <v>7252.1</v>
      </c>
      <c r="D36" s="71">
        <v>1832.5</v>
      </c>
      <c r="E36" s="95">
        <v>23390.9</v>
      </c>
      <c r="F36" s="71">
        <v>4484.8</v>
      </c>
      <c r="G36" s="67">
        <v>15619</v>
      </c>
      <c r="H36" s="71">
        <v>4079.8</v>
      </c>
    </row>
    <row r="37" spans="2:8" x14ac:dyDescent="0.25">
      <c r="B37" s="33">
        <v>39965</v>
      </c>
      <c r="C37" s="95">
        <v>6920.6</v>
      </c>
      <c r="D37" s="71">
        <v>1784.2</v>
      </c>
      <c r="E37" s="95">
        <v>27054.1</v>
      </c>
      <c r="F37" s="71">
        <v>5516.6</v>
      </c>
      <c r="G37" s="67">
        <v>15013</v>
      </c>
      <c r="H37" s="71">
        <v>4186.8</v>
      </c>
    </row>
    <row r="38" spans="2:8" x14ac:dyDescent="0.25">
      <c r="B38" s="33">
        <v>39995</v>
      </c>
      <c r="C38" s="95">
        <v>5872.4</v>
      </c>
      <c r="D38" s="71">
        <v>1427.9</v>
      </c>
      <c r="E38" s="95">
        <v>29981.7</v>
      </c>
      <c r="F38" s="71">
        <v>6546.5</v>
      </c>
      <c r="G38" s="67">
        <v>14545</v>
      </c>
      <c r="H38" s="71">
        <v>3555.4</v>
      </c>
    </row>
    <row r="39" spans="2:8" x14ac:dyDescent="0.25">
      <c r="B39" s="33">
        <v>40026</v>
      </c>
      <c r="C39" s="95">
        <v>5427.8</v>
      </c>
      <c r="D39" s="71">
        <v>1355.8</v>
      </c>
      <c r="E39" s="95">
        <v>21598.2</v>
      </c>
      <c r="F39" s="71">
        <v>5003.2</v>
      </c>
      <c r="G39" s="67">
        <v>12771</v>
      </c>
      <c r="H39" s="71">
        <v>3317.3</v>
      </c>
    </row>
    <row r="40" spans="2:8" x14ac:dyDescent="0.25">
      <c r="B40" s="33">
        <v>40057</v>
      </c>
      <c r="C40" s="95">
        <v>4866.3</v>
      </c>
      <c r="D40" s="71">
        <v>1290.8</v>
      </c>
      <c r="E40" s="95">
        <v>27097.8</v>
      </c>
      <c r="F40" s="71">
        <v>6464.9</v>
      </c>
      <c r="G40" s="67">
        <v>13222</v>
      </c>
      <c r="H40" s="71">
        <v>3565.3</v>
      </c>
    </row>
    <row r="41" spans="2:8" x14ac:dyDescent="0.25">
      <c r="B41" s="33">
        <v>40087</v>
      </c>
      <c r="C41" s="95">
        <v>3837.6</v>
      </c>
      <c r="D41" s="35">
        <v>957.7</v>
      </c>
      <c r="E41" s="95">
        <v>24716.5</v>
      </c>
      <c r="F41" s="71">
        <v>5557.5</v>
      </c>
      <c r="G41" s="67">
        <v>14742</v>
      </c>
      <c r="H41" s="71">
        <v>4034.4</v>
      </c>
    </row>
    <row r="42" spans="2:8" x14ac:dyDescent="0.25">
      <c r="B42" s="33">
        <v>40118</v>
      </c>
      <c r="C42" s="95">
        <v>3244.1</v>
      </c>
      <c r="D42" s="35">
        <v>708.8</v>
      </c>
      <c r="E42" s="95">
        <v>31289.8</v>
      </c>
      <c r="F42" s="97">
        <v>7192.7</v>
      </c>
      <c r="G42" s="67">
        <v>14213</v>
      </c>
      <c r="H42" s="71">
        <v>4100.6000000000004</v>
      </c>
    </row>
    <row r="43" spans="2:8" x14ac:dyDescent="0.25">
      <c r="B43" s="33">
        <v>40148</v>
      </c>
      <c r="C43" s="95">
        <v>2935</v>
      </c>
      <c r="D43" s="35">
        <v>749.6</v>
      </c>
      <c r="E43" s="95">
        <v>29390</v>
      </c>
      <c r="F43" s="97">
        <v>7037.1</v>
      </c>
      <c r="G43" s="67">
        <v>14693</v>
      </c>
      <c r="H43" s="71">
        <v>4178.8</v>
      </c>
    </row>
    <row r="44" spans="2:8" x14ac:dyDescent="0.25">
      <c r="B44" s="33">
        <v>40179</v>
      </c>
      <c r="C44" s="95">
        <v>2235.3000000000002</v>
      </c>
      <c r="D44" s="35">
        <v>671.9</v>
      </c>
      <c r="E44" s="95">
        <v>37495.300000000003</v>
      </c>
      <c r="F44" s="97">
        <v>8559.2000000000007</v>
      </c>
      <c r="G44" s="67">
        <v>11714</v>
      </c>
      <c r="H44" s="72">
        <v>3435</v>
      </c>
    </row>
    <row r="45" spans="2:8" x14ac:dyDescent="0.25">
      <c r="B45" s="33">
        <v>40210</v>
      </c>
      <c r="C45" s="95">
        <v>3592.4</v>
      </c>
      <c r="D45" s="71">
        <v>1172.2</v>
      </c>
      <c r="E45" s="95">
        <v>37751.199999999997</v>
      </c>
      <c r="F45" s="97">
        <v>8994.5</v>
      </c>
      <c r="G45" s="67">
        <v>10289</v>
      </c>
      <c r="H45" s="72">
        <v>2919</v>
      </c>
    </row>
    <row r="46" spans="2:8" x14ac:dyDescent="0.25">
      <c r="B46" s="33">
        <v>40238</v>
      </c>
      <c r="C46" s="95">
        <v>4407.5</v>
      </c>
      <c r="D46" s="71">
        <v>1659.7</v>
      </c>
      <c r="E46" s="95">
        <v>34691.800000000003</v>
      </c>
      <c r="F46" s="97">
        <v>8454.2999999999993</v>
      </c>
      <c r="G46" s="67">
        <v>14461</v>
      </c>
      <c r="H46" s="72">
        <v>4535</v>
      </c>
    </row>
    <row r="47" spans="2:8" x14ac:dyDescent="0.25">
      <c r="B47" s="33">
        <v>40269</v>
      </c>
      <c r="C47" s="95">
        <v>4205.7</v>
      </c>
      <c r="D47" s="71">
        <v>1548.3</v>
      </c>
      <c r="E47" s="95">
        <v>27945</v>
      </c>
      <c r="F47" s="97">
        <v>6629.4</v>
      </c>
      <c r="G47" s="67">
        <v>12197</v>
      </c>
      <c r="H47" s="72">
        <v>2791</v>
      </c>
    </row>
    <row r="48" spans="2:8" x14ac:dyDescent="0.25">
      <c r="B48" s="33">
        <v>40299</v>
      </c>
      <c r="C48" s="95">
        <v>3859.7</v>
      </c>
      <c r="D48" s="71">
        <v>1582.9</v>
      </c>
      <c r="E48" s="95">
        <v>35423.199999999997</v>
      </c>
      <c r="F48" s="97">
        <v>7962.3</v>
      </c>
      <c r="G48" s="67">
        <v>13394</v>
      </c>
      <c r="H48" s="72">
        <v>3192</v>
      </c>
    </row>
    <row r="49" spans="2:8" x14ac:dyDescent="0.25">
      <c r="B49" s="33">
        <v>40330</v>
      </c>
      <c r="C49" s="95">
        <v>4523.3</v>
      </c>
      <c r="D49" s="71">
        <v>1632</v>
      </c>
      <c r="E49" s="95">
        <v>40653.199999999997</v>
      </c>
      <c r="F49" s="97">
        <v>8118.3</v>
      </c>
      <c r="G49" s="67">
        <v>12386</v>
      </c>
      <c r="H49" s="72">
        <v>2886</v>
      </c>
    </row>
    <row r="50" spans="2:8" x14ac:dyDescent="0.25">
      <c r="B50" s="33">
        <v>40360</v>
      </c>
      <c r="C50" s="95">
        <v>4872</v>
      </c>
      <c r="D50" s="71">
        <v>1824.4</v>
      </c>
      <c r="E50" s="95">
        <v>40686.6</v>
      </c>
      <c r="F50" s="97">
        <v>8120.2</v>
      </c>
      <c r="G50" s="67">
        <v>11818</v>
      </c>
      <c r="H50" s="72">
        <v>2791</v>
      </c>
    </row>
    <row r="51" spans="2:8" x14ac:dyDescent="0.25">
      <c r="B51" s="33">
        <v>40391</v>
      </c>
      <c r="C51" s="95">
        <v>2795.3</v>
      </c>
      <c r="D51" s="71">
        <v>1038.2</v>
      </c>
      <c r="E51" s="95">
        <v>31413.4</v>
      </c>
      <c r="F51" s="97">
        <v>6588</v>
      </c>
      <c r="G51" s="67">
        <v>12251</v>
      </c>
      <c r="H51" s="72">
        <v>4372</v>
      </c>
    </row>
    <row r="52" spans="2:8" x14ac:dyDescent="0.25">
      <c r="B52" s="33">
        <v>40422</v>
      </c>
      <c r="C52" s="95">
        <v>3988.2</v>
      </c>
      <c r="D52" s="71">
        <v>1804.1</v>
      </c>
      <c r="E52" s="95">
        <v>28692.2</v>
      </c>
      <c r="F52" s="97">
        <v>6405.5</v>
      </c>
      <c r="G52" s="67">
        <v>13265</v>
      </c>
      <c r="H52" s="72">
        <v>3191</v>
      </c>
    </row>
    <row r="53" spans="2:8" x14ac:dyDescent="0.25">
      <c r="B53" s="33">
        <v>40452</v>
      </c>
      <c r="C53" s="95">
        <v>2971.2</v>
      </c>
      <c r="D53" s="71">
        <v>1201.7</v>
      </c>
      <c r="E53" s="95">
        <v>24736.9</v>
      </c>
      <c r="F53" s="97">
        <v>5673.8</v>
      </c>
      <c r="G53" s="67">
        <v>15290</v>
      </c>
      <c r="H53" s="72">
        <v>3956</v>
      </c>
    </row>
    <row r="54" spans="2:8" x14ac:dyDescent="0.25">
      <c r="B54" s="33">
        <v>40483</v>
      </c>
      <c r="C54" s="95">
        <v>3252.3</v>
      </c>
      <c r="D54" s="71">
        <v>1241.0999999999999</v>
      </c>
      <c r="E54" s="95">
        <v>35137.4</v>
      </c>
      <c r="F54" s="97">
        <v>8090.7</v>
      </c>
      <c r="G54" s="67">
        <v>15850</v>
      </c>
      <c r="H54" s="72">
        <v>4279</v>
      </c>
    </row>
    <row r="55" spans="2:8" x14ac:dyDescent="0.25">
      <c r="B55" s="33">
        <v>40513</v>
      </c>
      <c r="C55" s="95">
        <v>2432</v>
      </c>
      <c r="D55" s="35">
        <v>867</v>
      </c>
      <c r="E55" s="96">
        <v>35409.599999999999</v>
      </c>
      <c r="F55" s="71">
        <v>8021.8</v>
      </c>
      <c r="G55" s="66">
        <v>4219</v>
      </c>
      <c r="H55" s="73">
        <v>1824</v>
      </c>
    </row>
    <row r="56" spans="2:8" x14ac:dyDescent="0.25">
      <c r="B56" s="33">
        <v>40544</v>
      </c>
      <c r="C56" s="95">
        <v>3066.6</v>
      </c>
      <c r="D56" s="71">
        <v>1282</v>
      </c>
      <c r="E56" s="96">
        <v>31109.5</v>
      </c>
      <c r="F56" s="71">
        <v>7871.3</v>
      </c>
      <c r="G56" s="66">
        <v>16231</v>
      </c>
      <c r="H56" s="73">
        <v>7470</v>
      </c>
    </row>
    <row r="57" spans="2:8" x14ac:dyDescent="0.25">
      <c r="B57" s="33">
        <v>40575</v>
      </c>
      <c r="C57" s="95">
        <v>3260.8</v>
      </c>
      <c r="D57" s="71">
        <v>1670.8</v>
      </c>
      <c r="E57" s="96">
        <v>28813.9</v>
      </c>
      <c r="F57" s="71">
        <v>7223.2</v>
      </c>
      <c r="G57" s="66">
        <v>17531</v>
      </c>
      <c r="H57" s="73">
        <v>7368</v>
      </c>
    </row>
    <row r="58" spans="2:8" x14ac:dyDescent="0.25">
      <c r="B58" s="33">
        <v>40603</v>
      </c>
      <c r="C58" s="95">
        <v>4204.3</v>
      </c>
      <c r="D58" s="71">
        <v>2154.1999999999998</v>
      </c>
      <c r="E58" s="96">
        <v>35851.5</v>
      </c>
      <c r="F58" s="71">
        <v>8890</v>
      </c>
      <c r="G58" s="66">
        <v>21287</v>
      </c>
      <c r="H58" s="73">
        <v>7548</v>
      </c>
    </row>
    <row r="59" spans="2:8" x14ac:dyDescent="0.25">
      <c r="B59" s="33">
        <v>40634</v>
      </c>
      <c r="C59" s="95">
        <v>4253.5</v>
      </c>
      <c r="D59" s="71">
        <v>2294.1999999999998</v>
      </c>
      <c r="E59" s="96">
        <v>32083.5</v>
      </c>
      <c r="F59" s="71">
        <v>7900.2</v>
      </c>
      <c r="G59" s="66">
        <v>23448</v>
      </c>
      <c r="H59" s="73">
        <v>7159</v>
      </c>
    </row>
    <row r="60" spans="2:8" x14ac:dyDescent="0.25">
      <c r="B60" s="33">
        <v>40664</v>
      </c>
      <c r="C60" s="95">
        <v>3877.6</v>
      </c>
      <c r="D60" s="71">
        <v>1963.4</v>
      </c>
      <c r="E60" s="96">
        <v>31897.8</v>
      </c>
      <c r="F60" s="71">
        <v>7824.6</v>
      </c>
      <c r="G60" s="66">
        <v>21839</v>
      </c>
      <c r="H60" s="73">
        <v>8315</v>
      </c>
    </row>
    <row r="61" spans="2:8" x14ac:dyDescent="0.25">
      <c r="B61" s="33">
        <v>40695</v>
      </c>
      <c r="C61" s="95">
        <v>2676.6</v>
      </c>
      <c r="D61" s="71">
        <v>1322.1</v>
      </c>
      <c r="E61" s="96">
        <v>34957</v>
      </c>
      <c r="F61" s="71">
        <v>8906.9</v>
      </c>
      <c r="G61" s="66">
        <v>17730</v>
      </c>
      <c r="H61" s="73">
        <v>6836</v>
      </c>
    </row>
    <row r="62" spans="2:8" x14ac:dyDescent="0.25">
      <c r="B62" s="33">
        <v>40725</v>
      </c>
      <c r="C62" s="95">
        <v>2857.2</v>
      </c>
      <c r="D62" s="71">
        <v>1748.5</v>
      </c>
      <c r="E62" s="96">
        <v>33629</v>
      </c>
      <c r="F62" s="71">
        <v>9266.2000000000007</v>
      </c>
      <c r="G62" s="66">
        <v>15420</v>
      </c>
      <c r="H62" s="73">
        <v>5531</v>
      </c>
    </row>
    <row r="63" spans="2:8" x14ac:dyDescent="0.25">
      <c r="B63" s="33">
        <v>40756</v>
      </c>
      <c r="C63" s="95">
        <v>3096.1</v>
      </c>
      <c r="D63" s="71">
        <v>1955.4</v>
      </c>
      <c r="E63" s="96">
        <v>32692.7</v>
      </c>
      <c r="F63" s="71">
        <v>9332.7999999999993</v>
      </c>
      <c r="G63" s="66">
        <v>16128</v>
      </c>
      <c r="H63" s="73">
        <v>6582</v>
      </c>
    </row>
    <row r="64" spans="2:8" x14ac:dyDescent="0.25">
      <c r="B64" s="33">
        <v>40787</v>
      </c>
      <c r="C64" s="95">
        <v>3317</v>
      </c>
      <c r="D64" s="71">
        <v>2161.4</v>
      </c>
      <c r="E64" s="96">
        <v>26429.7</v>
      </c>
      <c r="F64" s="71">
        <v>7686.4</v>
      </c>
      <c r="G64" s="66">
        <v>15658</v>
      </c>
      <c r="H64" s="73">
        <v>6744</v>
      </c>
    </row>
    <row r="65" spans="2:8" x14ac:dyDescent="0.25">
      <c r="B65" s="33">
        <v>40817</v>
      </c>
      <c r="C65" s="95">
        <v>3298</v>
      </c>
      <c r="D65" s="71">
        <v>2133.5</v>
      </c>
      <c r="E65" s="96">
        <v>29421.7</v>
      </c>
      <c r="F65" s="71">
        <v>8855.2999999999993</v>
      </c>
      <c r="G65" s="66">
        <v>17553</v>
      </c>
      <c r="H65" s="73">
        <v>9508</v>
      </c>
    </row>
    <row r="66" spans="2:8" x14ac:dyDescent="0.25">
      <c r="B66" s="33">
        <v>40848</v>
      </c>
      <c r="C66" s="95">
        <v>1989.9</v>
      </c>
      <c r="D66" s="71">
        <v>1173</v>
      </c>
      <c r="E66" s="96">
        <v>33352.5</v>
      </c>
      <c r="F66" s="71">
        <v>9333.6</v>
      </c>
      <c r="G66" s="66">
        <v>17274</v>
      </c>
      <c r="H66" s="73">
        <v>6647</v>
      </c>
    </row>
    <row r="67" spans="2:8" x14ac:dyDescent="0.25">
      <c r="B67" s="33">
        <v>40878</v>
      </c>
      <c r="C67" s="95">
        <v>1672</v>
      </c>
      <c r="D67" s="35">
        <v>940.4</v>
      </c>
      <c r="E67" s="96">
        <v>35186.6</v>
      </c>
      <c r="F67" s="71">
        <v>9145.1</v>
      </c>
      <c r="G67" s="66">
        <v>16145</v>
      </c>
      <c r="H67" s="97">
        <v>8914.5</v>
      </c>
    </row>
    <row r="68" spans="2:8" x14ac:dyDescent="0.25">
      <c r="B68" s="33">
        <v>40909</v>
      </c>
      <c r="C68" s="95">
        <v>3093.7</v>
      </c>
      <c r="D68" s="71">
        <v>1453.7</v>
      </c>
      <c r="E68" s="96">
        <v>35381.599999999999</v>
      </c>
      <c r="F68" s="71">
        <v>9122.7999999999993</v>
      </c>
      <c r="G68" s="66">
        <v>14973</v>
      </c>
      <c r="H68" s="97">
        <v>8720.1</v>
      </c>
    </row>
    <row r="69" spans="2:8" x14ac:dyDescent="0.25">
      <c r="B69" s="33">
        <v>40940</v>
      </c>
      <c r="C69" s="95">
        <v>3668</v>
      </c>
      <c r="D69" s="71">
        <v>1937.4</v>
      </c>
      <c r="E69" s="96">
        <v>37656.199999999997</v>
      </c>
      <c r="F69" s="71">
        <v>9414.5</v>
      </c>
      <c r="G69" s="66">
        <v>16052</v>
      </c>
      <c r="H69" s="97">
        <v>6725</v>
      </c>
    </row>
    <row r="70" spans="2:8" x14ac:dyDescent="0.25">
      <c r="B70" s="33">
        <v>40969</v>
      </c>
      <c r="C70" s="95">
        <v>5068.8999999999996</v>
      </c>
      <c r="D70" s="71">
        <v>2550.4</v>
      </c>
      <c r="E70" s="96">
        <v>31280.3</v>
      </c>
      <c r="F70" s="71">
        <v>7804.2</v>
      </c>
      <c r="G70" s="66">
        <v>18967</v>
      </c>
      <c r="H70" s="97">
        <v>6514.9</v>
      </c>
    </row>
    <row r="71" spans="2:8" x14ac:dyDescent="0.25">
      <c r="B71" s="33">
        <v>41000</v>
      </c>
      <c r="C71" s="95">
        <v>4624.5</v>
      </c>
      <c r="D71" s="71">
        <v>2368.6999999999998</v>
      </c>
      <c r="E71" s="96">
        <v>26816.3</v>
      </c>
      <c r="F71" s="71">
        <v>6751.1</v>
      </c>
      <c r="G71" s="66">
        <v>17408</v>
      </c>
      <c r="H71" s="97">
        <v>6317</v>
      </c>
    </row>
    <row r="72" spans="2:8" x14ac:dyDescent="0.25">
      <c r="B72" s="33">
        <v>41030</v>
      </c>
      <c r="C72" s="95">
        <v>4923.8999999999996</v>
      </c>
      <c r="D72" s="71">
        <v>2274.6</v>
      </c>
      <c r="E72" s="96">
        <v>25060.1</v>
      </c>
      <c r="F72" s="71">
        <v>6445.2</v>
      </c>
      <c r="G72" s="66">
        <v>17027</v>
      </c>
      <c r="H72" s="97">
        <v>6012.6</v>
      </c>
    </row>
    <row r="73" spans="2:8" x14ac:dyDescent="0.25">
      <c r="B73" s="33">
        <v>41061</v>
      </c>
      <c r="C73" s="95">
        <v>4887.2</v>
      </c>
      <c r="D73" s="71">
        <v>2098.1999999999998</v>
      </c>
      <c r="E73" s="96">
        <v>29147.599999999999</v>
      </c>
      <c r="F73" s="71">
        <v>7770.2</v>
      </c>
      <c r="G73" s="66">
        <v>15271</v>
      </c>
      <c r="H73" s="97">
        <v>6227</v>
      </c>
    </row>
    <row r="74" spans="2:8" x14ac:dyDescent="0.25">
      <c r="B74" s="33">
        <v>41091</v>
      </c>
      <c r="C74" s="95">
        <v>5727.3</v>
      </c>
      <c r="D74" s="71">
        <v>2396.9</v>
      </c>
      <c r="E74" s="96">
        <v>28054.400000000001</v>
      </c>
      <c r="F74" s="71">
        <v>7812.6</v>
      </c>
      <c r="G74" s="66">
        <v>17349</v>
      </c>
      <c r="H74" s="97">
        <v>7813.3</v>
      </c>
    </row>
    <row r="75" spans="2:8" x14ac:dyDescent="0.25">
      <c r="B75" s="33">
        <v>41122</v>
      </c>
      <c r="C75" s="95">
        <v>4483.8</v>
      </c>
      <c r="D75" s="71">
        <v>1712</v>
      </c>
      <c r="E75" s="96">
        <v>30996.2</v>
      </c>
      <c r="F75" s="71">
        <v>8798</v>
      </c>
      <c r="G75" s="66">
        <v>15866</v>
      </c>
      <c r="H75" s="97">
        <v>5825.3</v>
      </c>
    </row>
    <row r="76" spans="2:8" x14ac:dyDescent="0.25">
      <c r="B76" s="33">
        <v>41153</v>
      </c>
      <c r="C76" s="95">
        <v>4421</v>
      </c>
      <c r="D76" s="71">
        <v>1596.2</v>
      </c>
      <c r="E76" s="96">
        <v>30688.6</v>
      </c>
      <c r="F76" s="71">
        <v>8771.2999999999993</v>
      </c>
      <c r="G76" s="66">
        <v>16506</v>
      </c>
      <c r="H76" s="97">
        <v>7566.6</v>
      </c>
    </row>
    <row r="77" spans="2:8" x14ac:dyDescent="0.25">
      <c r="B77" s="33">
        <v>41183</v>
      </c>
      <c r="C77" s="95">
        <v>4481.5</v>
      </c>
      <c r="D77" s="71">
        <v>1689.7</v>
      </c>
      <c r="E77" s="96">
        <v>33166.5</v>
      </c>
      <c r="F77" s="71">
        <v>9447.5</v>
      </c>
      <c r="G77" s="66">
        <v>19708</v>
      </c>
      <c r="H77" s="97">
        <v>11367.5</v>
      </c>
    </row>
    <row r="78" spans="2:8" x14ac:dyDescent="0.25">
      <c r="B78" s="33">
        <v>41214</v>
      </c>
      <c r="C78" s="95">
        <v>4109.6000000000004</v>
      </c>
      <c r="D78" s="71">
        <v>1453.1</v>
      </c>
      <c r="E78" s="96">
        <v>38681</v>
      </c>
      <c r="F78" s="71">
        <v>10840.4</v>
      </c>
      <c r="G78" s="66">
        <v>18347</v>
      </c>
      <c r="H78" s="97">
        <v>7742.1</v>
      </c>
    </row>
    <row r="79" spans="2:8" x14ac:dyDescent="0.25">
      <c r="B79" s="33">
        <v>41244</v>
      </c>
      <c r="C79" s="95">
        <v>2223.1999999999998</v>
      </c>
      <c r="D79" s="35">
        <v>740.4</v>
      </c>
      <c r="E79" s="96">
        <v>30067.4</v>
      </c>
      <c r="F79" s="71">
        <v>8462.9</v>
      </c>
      <c r="G79" s="94">
        <v>18249.5</v>
      </c>
      <c r="H79" s="97">
        <v>9036.1</v>
      </c>
    </row>
    <row r="80" spans="2:8" x14ac:dyDescent="0.25">
      <c r="B80" s="33">
        <v>41275</v>
      </c>
      <c r="C80" s="95">
        <v>2790.4</v>
      </c>
      <c r="D80" s="71">
        <v>1061.7</v>
      </c>
      <c r="E80" s="96">
        <v>40190.199999999997</v>
      </c>
      <c r="F80" s="71">
        <v>11383.2</v>
      </c>
      <c r="G80" s="94">
        <v>18397.71</v>
      </c>
      <c r="H80" s="97">
        <v>9071.2800000000007</v>
      </c>
    </row>
    <row r="81" spans="2:8" x14ac:dyDescent="0.25">
      <c r="B81" s="33">
        <v>41306</v>
      </c>
      <c r="C81" s="95">
        <v>3955.3</v>
      </c>
      <c r="D81" s="71">
        <v>1429.4</v>
      </c>
      <c r="E81" s="96">
        <v>34584.699999999997</v>
      </c>
      <c r="F81" s="71">
        <v>10070.700000000001</v>
      </c>
      <c r="G81" s="94">
        <v>21575.57</v>
      </c>
      <c r="H81" s="97">
        <v>9198.5499999999993</v>
      </c>
    </row>
    <row r="82" spans="2:8" x14ac:dyDescent="0.25">
      <c r="B82" s="33">
        <v>41334</v>
      </c>
      <c r="C82" s="95">
        <v>3179.2</v>
      </c>
      <c r="D82" s="71">
        <v>1187.8</v>
      </c>
      <c r="E82" s="96">
        <v>32533.599999999999</v>
      </c>
      <c r="F82" s="71">
        <v>8618.7999999999993</v>
      </c>
      <c r="G82" s="94">
        <v>19814.189999999999</v>
      </c>
      <c r="H82" s="97">
        <v>7061.08</v>
      </c>
    </row>
    <row r="83" spans="2:8" x14ac:dyDescent="0.25">
      <c r="B83" s="33">
        <v>41365</v>
      </c>
      <c r="C83" s="95">
        <v>3986.1</v>
      </c>
      <c r="D83" s="71">
        <v>1361.5</v>
      </c>
      <c r="E83" s="96">
        <v>33661.5</v>
      </c>
      <c r="F83" s="71">
        <v>8011.9</v>
      </c>
      <c r="G83" s="94">
        <v>19793.259999999998</v>
      </c>
      <c r="H83" s="97">
        <v>5229.1000000000004</v>
      </c>
    </row>
    <row r="84" spans="2:8" x14ac:dyDescent="0.25">
      <c r="B84" s="33">
        <v>41395</v>
      </c>
      <c r="C84" s="95">
        <v>5163.8</v>
      </c>
      <c r="D84" s="71">
        <v>1789.8</v>
      </c>
      <c r="E84" s="96">
        <v>40935.5</v>
      </c>
      <c r="F84" s="71">
        <v>9462.9</v>
      </c>
      <c r="G84" s="94">
        <v>17135.04</v>
      </c>
      <c r="H84" s="97">
        <v>5924.23</v>
      </c>
    </row>
    <row r="85" spans="2:8" x14ac:dyDescent="0.25">
      <c r="B85" s="33">
        <v>41426</v>
      </c>
      <c r="C85" s="95">
        <v>5237.7</v>
      </c>
      <c r="D85" s="71">
        <v>1778.3</v>
      </c>
      <c r="E85" s="96">
        <v>37782.699999999997</v>
      </c>
      <c r="F85" s="71">
        <v>8515.1</v>
      </c>
      <c r="G85" s="94">
        <v>15180.85</v>
      </c>
      <c r="H85" s="97">
        <v>6995.59</v>
      </c>
    </row>
    <row r="86" spans="2:8" x14ac:dyDescent="0.25">
      <c r="B86" s="33">
        <v>41456</v>
      </c>
      <c r="C86" s="95">
        <v>4652.1000000000004</v>
      </c>
      <c r="D86" s="71">
        <v>1555.8</v>
      </c>
      <c r="E86" s="96">
        <v>43760.800000000003</v>
      </c>
      <c r="F86" s="71">
        <v>9911</v>
      </c>
      <c r="G86" s="94">
        <v>15193.36</v>
      </c>
      <c r="H86" s="97">
        <v>4970.51</v>
      </c>
    </row>
    <row r="87" spans="2:8" x14ac:dyDescent="0.25">
      <c r="B87" s="33">
        <v>41487</v>
      </c>
      <c r="C87" s="95">
        <v>4740.8</v>
      </c>
      <c r="D87" s="71">
        <v>1409</v>
      </c>
      <c r="E87" s="96">
        <v>36175.1</v>
      </c>
      <c r="F87" s="71">
        <v>8236.4</v>
      </c>
      <c r="G87" s="94">
        <v>15005.36</v>
      </c>
      <c r="H87" s="97">
        <v>6304.29</v>
      </c>
    </row>
    <row r="88" spans="2:8" x14ac:dyDescent="0.25">
      <c r="B88" s="33">
        <v>41518</v>
      </c>
      <c r="C88" s="95">
        <v>4802.3</v>
      </c>
      <c r="D88" s="71">
        <v>1436.1</v>
      </c>
      <c r="E88" s="96">
        <v>34082.300000000003</v>
      </c>
      <c r="F88" s="71">
        <v>7635.4</v>
      </c>
      <c r="G88" s="94">
        <v>17588.900000000001</v>
      </c>
      <c r="H88" s="97">
        <v>5036.17</v>
      </c>
    </row>
    <row r="89" spans="2:8" x14ac:dyDescent="0.25">
      <c r="B89" s="33">
        <v>41548</v>
      </c>
      <c r="C89" s="95">
        <v>3899.2</v>
      </c>
      <c r="D89" s="71">
        <v>1302.9000000000001</v>
      </c>
      <c r="E89" s="96">
        <v>33531.699999999997</v>
      </c>
      <c r="F89" s="71">
        <v>6977</v>
      </c>
      <c r="G89" s="94">
        <v>20291.73</v>
      </c>
      <c r="H89" s="97">
        <v>9117.9</v>
      </c>
    </row>
    <row r="90" spans="2:8" x14ac:dyDescent="0.25">
      <c r="B90" s="33">
        <v>41579</v>
      </c>
      <c r="C90" s="95">
        <v>3808.2</v>
      </c>
      <c r="D90" s="71">
        <v>1153.0999999999999</v>
      </c>
      <c r="E90" s="96">
        <v>40054.400000000001</v>
      </c>
      <c r="F90" s="71">
        <v>7834.3</v>
      </c>
      <c r="G90" s="94">
        <v>17689.28</v>
      </c>
      <c r="H90" s="97">
        <v>7290.41</v>
      </c>
    </row>
    <row r="91" spans="2:8" x14ac:dyDescent="0.25">
      <c r="B91" s="33">
        <v>41609</v>
      </c>
      <c r="C91" s="95">
        <v>2675</v>
      </c>
      <c r="D91" s="35">
        <v>862.3</v>
      </c>
      <c r="E91" s="96">
        <v>38740.699999999997</v>
      </c>
      <c r="F91" s="97">
        <v>7991.4</v>
      </c>
      <c r="G91" s="24"/>
      <c r="H91" s="43"/>
    </row>
    <row r="92" spans="2:8" x14ac:dyDescent="0.25">
      <c r="B92" s="33">
        <v>41640</v>
      </c>
      <c r="C92" s="95">
        <v>3168.9</v>
      </c>
      <c r="D92" s="71">
        <v>1054.8</v>
      </c>
      <c r="E92" s="96">
        <v>38651.9</v>
      </c>
      <c r="F92" s="97">
        <v>8784.2999999999993</v>
      </c>
      <c r="G92" s="24"/>
      <c r="H92" s="43"/>
    </row>
    <row r="93" spans="2:8" x14ac:dyDescent="0.25">
      <c r="B93" s="33">
        <v>41671</v>
      </c>
      <c r="C93" s="95">
        <v>3077.9</v>
      </c>
      <c r="D93" s="71">
        <v>1117.5999999999999</v>
      </c>
      <c r="E93" s="96">
        <v>33514.1</v>
      </c>
      <c r="F93" s="97">
        <v>7316.6</v>
      </c>
      <c r="G93" s="24"/>
      <c r="H93" s="43"/>
    </row>
    <row r="94" spans="2:8" x14ac:dyDescent="0.25">
      <c r="B94" s="33">
        <v>41699</v>
      </c>
      <c r="C94" s="95">
        <v>4583.6000000000004</v>
      </c>
      <c r="D94" s="71">
        <v>1533.2</v>
      </c>
      <c r="E94" s="96">
        <v>37642.400000000001</v>
      </c>
      <c r="F94" s="97">
        <v>7937.6</v>
      </c>
      <c r="G94" s="24"/>
      <c r="H94" s="43"/>
    </row>
    <row r="95" spans="2:8" x14ac:dyDescent="0.25">
      <c r="B95" s="33">
        <v>41730</v>
      </c>
      <c r="C95" s="95">
        <v>4858.3</v>
      </c>
      <c r="D95" s="71">
        <v>2013.3</v>
      </c>
      <c r="E95" s="96">
        <v>37439</v>
      </c>
      <c r="F95" s="97">
        <v>7781.7</v>
      </c>
      <c r="G95" s="24"/>
      <c r="H95" s="43"/>
    </row>
    <row r="96" spans="2:8" x14ac:dyDescent="0.25">
      <c r="B96" s="33">
        <v>41760</v>
      </c>
      <c r="C96" s="95">
        <v>4593.6000000000004</v>
      </c>
      <c r="D96" s="71">
        <v>2024.2</v>
      </c>
      <c r="E96" s="96">
        <v>36215.5</v>
      </c>
      <c r="F96" s="97">
        <v>7380</v>
      </c>
      <c r="G96" s="24"/>
      <c r="H96" s="43"/>
    </row>
    <row r="97" spans="2:8" x14ac:dyDescent="0.25">
      <c r="B97" s="33">
        <v>41791</v>
      </c>
      <c r="C97" s="95">
        <v>4587.3999999999996</v>
      </c>
      <c r="D97" s="71">
        <v>2006.8</v>
      </c>
      <c r="E97" s="96">
        <v>39010.699999999997</v>
      </c>
      <c r="F97" s="97">
        <v>7692.3</v>
      </c>
      <c r="G97" s="24"/>
      <c r="H97" s="43"/>
    </row>
    <row r="98" spans="2:8" x14ac:dyDescent="0.25">
      <c r="B98" s="33">
        <v>41821</v>
      </c>
      <c r="C98" s="95">
        <v>5424.5</v>
      </c>
      <c r="D98" s="71">
        <v>2383.4</v>
      </c>
      <c r="E98" s="96">
        <v>42393.4</v>
      </c>
      <c r="F98" s="97">
        <v>8468</v>
      </c>
      <c r="G98" s="24"/>
      <c r="H98" s="43"/>
    </row>
    <row r="99" spans="2:8" x14ac:dyDescent="0.25">
      <c r="B99" s="33">
        <v>41852</v>
      </c>
      <c r="C99" s="95">
        <v>3313.1</v>
      </c>
      <c r="D99" s="71">
        <v>1473.6</v>
      </c>
      <c r="E99" s="96">
        <v>38120.5</v>
      </c>
      <c r="F99" s="97">
        <v>7974.2</v>
      </c>
      <c r="G99" s="24"/>
      <c r="H99" s="43"/>
    </row>
    <row r="100" spans="2:8" x14ac:dyDescent="0.25">
      <c r="B100" s="33">
        <v>41883</v>
      </c>
      <c r="C100" s="95">
        <v>3944.1</v>
      </c>
      <c r="D100" s="71">
        <v>1722</v>
      </c>
      <c r="E100" s="96">
        <v>35960.6</v>
      </c>
      <c r="F100" s="97">
        <v>7243.6</v>
      </c>
      <c r="G100" s="24"/>
      <c r="H100" s="43"/>
    </row>
    <row r="101" spans="2:8" x14ac:dyDescent="0.25">
      <c r="B101" s="33">
        <v>41913</v>
      </c>
      <c r="C101" s="95">
        <v>3617.7</v>
      </c>
      <c r="D101" s="71">
        <v>1645.1</v>
      </c>
      <c r="E101" s="96">
        <v>37637.199999999997</v>
      </c>
      <c r="F101" s="97">
        <v>7444.3</v>
      </c>
      <c r="G101" s="24"/>
      <c r="H101" s="43"/>
    </row>
    <row r="102" spans="2:8" x14ac:dyDescent="0.25">
      <c r="B102" s="33">
        <v>41944</v>
      </c>
      <c r="C102" s="95">
        <v>3717.9</v>
      </c>
      <c r="D102" s="71">
        <v>1747</v>
      </c>
      <c r="E102" s="96">
        <v>38275.199999999997</v>
      </c>
      <c r="F102" s="97">
        <v>7594.6</v>
      </c>
      <c r="G102" s="24"/>
      <c r="H102" s="43"/>
    </row>
    <row r="103" spans="2:8" x14ac:dyDescent="0.25">
      <c r="B103" s="33">
        <v>41974</v>
      </c>
      <c r="C103" s="95">
        <v>2550.9</v>
      </c>
      <c r="D103" s="71">
        <v>1192.3</v>
      </c>
      <c r="E103" s="96">
        <v>41631.300000000003</v>
      </c>
      <c r="F103" s="97">
        <v>8378.6</v>
      </c>
      <c r="G103" s="24"/>
      <c r="H103" s="43"/>
    </row>
    <row r="104" spans="2:8" x14ac:dyDescent="0.25">
      <c r="B104" s="33">
        <v>42005</v>
      </c>
      <c r="C104" s="95">
        <v>2843.8</v>
      </c>
      <c r="D104" s="71">
        <v>1306.5</v>
      </c>
      <c r="E104" s="96">
        <v>40970.1</v>
      </c>
      <c r="F104" s="97">
        <v>8484.7000000000007</v>
      </c>
      <c r="G104" s="24"/>
      <c r="H104" s="43"/>
    </row>
    <row r="105" spans="2:8" x14ac:dyDescent="0.25">
      <c r="B105" s="33">
        <v>42036</v>
      </c>
      <c r="C105" s="95">
        <v>2883.6</v>
      </c>
      <c r="D105" s="71">
        <v>1338.5</v>
      </c>
      <c r="E105" s="96">
        <v>41086.199999999997</v>
      </c>
      <c r="F105" s="97">
        <v>9313.4</v>
      </c>
      <c r="G105" s="24"/>
      <c r="H105" s="43"/>
    </row>
    <row r="106" spans="2:8" x14ac:dyDescent="0.25">
      <c r="B106" s="33">
        <v>42064</v>
      </c>
      <c r="C106" s="95">
        <v>4289.5</v>
      </c>
      <c r="D106" s="71">
        <v>2025.1</v>
      </c>
      <c r="E106" s="96">
        <v>35699.599999999999</v>
      </c>
      <c r="F106" s="97">
        <v>8796.1</v>
      </c>
      <c r="G106" s="24"/>
      <c r="H106" s="43"/>
    </row>
    <row r="107" spans="2:8" x14ac:dyDescent="0.25">
      <c r="B107" s="33">
        <v>42095</v>
      </c>
      <c r="C107" s="95">
        <v>3948.3</v>
      </c>
      <c r="D107" s="71">
        <v>1900.5</v>
      </c>
      <c r="E107" s="96">
        <v>28262.1</v>
      </c>
      <c r="F107" s="97">
        <v>7189.1</v>
      </c>
      <c r="G107" s="24"/>
      <c r="H107" s="43"/>
    </row>
    <row r="108" spans="2:8" x14ac:dyDescent="0.25">
      <c r="B108" s="33">
        <v>42125</v>
      </c>
      <c r="C108" s="95">
        <v>4382.83</v>
      </c>
      <c r="D108" s="71">
        <v>2235.7600000000002</v>
      </c>
      <c r="E108" s="96">
        <v>27016.3</v>
      </c>
      <c r="F108" s="97">
        <v>7505.7</v>
      </c>
      <c r="G108" s="24"/>
      <c r="H108" s="43"/>
    </row>
    <row r="109" spans="2:8" x14ac:dyDescent="0.25">
      <c r="B109" s="33">
        <v>42156</v>
      </c>
      <c r="C109" s="95">
        <v>4219.9399999999996</v>
      </c>
      <c r="D109" s="71">
        <v>2068.09</v>
      </c>
      <c r="E109" s="96">
        <v>35914.800000000003</v>
      </c>
      <c r="F109" s="97">
        <v>11262.8</v>
      </c>
      <c r="G109" s="24"/>
      <c r="H109" s="43"/>
    </row>
    <row r="110" spans="2:8" x14ac:dyDescent="0.25">
      <c r="B110" s="33">
        <v>42186</v>
      </c>
      <c r="C110" s="95">
        <v>3938.27</v>
      </c>
      <c r="D110" s="71">
        <v>1942.96</v>
      </c>
      <c r="E110" s="96">
        <v>30623</v>
      </c>
      <c r="F110" s="97">
        <v>10146.370000000001</v>
      </c>
      <c r="G110" s="24"/>
      <c r="H110" s="43"/>
    </row>
    <row r="111" spans="2:8" x14ac:dyDescent="0.25">
      <c r="B111" s="33">
        <v>42217</v>
      </c>
      <c r="C111" s="95">
        <v>3991.14</v>
      </c>
      <c r="D111" s="71">
        <v>1790.29</v>
      </c>
      <c r="E111" s="96">
        <v>27687.46</v>
      </c>
      <c r="F111" s="97">
        <v>9480.99</v>
      </c>
      <c r="G111" s="24"/>
      <c r="H111" s="43"/>
    </row>
    <row r="112" spans="2:8" x14ac:dyDescent="0.25">
      <c r="B112" s="33">
        <v>42248</v>
      </c>
      <c r="C112" s="95">
        <v>3404.87</v>
      </c>
      <c r="D112" s="71">
        <v>1617.4</v>
      </c>
      <c r="E112" s="96">
        <v>33528.06</v>
      </c>
      <c r="F112" s="97">
        <v>11412.84</v>
      </c>
      <c r="G112" s="24"/>
      <c r="H112" s="43"/>
    </row>
    <row r="113" spans="2:8" x14ac:dyDescent="0.25">
      <c r="B113" s="33">
        <v>42278</v>
      </c>
      <c r="C113" s="95">
        <v>4399.8999999999996</v>
      </c>
      <c r="D113" s="71">
        <v>2019.11</v>
      </c>
      <c r="E113" s="96">
        <v>40246.1</v>
      </c>
      <c r="F113" s="97">
        <v>13538.28</v>
      </c>
      <c r="G113" s="24"/>
      <c r="H113" s="97"/>
    </row>
    <row r="114" spans="2:8" x14ac:dyDescent="0.25">
      <c r="B114" s="33">
        <v>42309</v>
      </c>
      <c r="C114" s="95">
        <v>2769.34</v>
      </c>
      <c r="D114" s="71">
        <v>1243.54</v>
      </c>
      <c r="E114" s="96">
        <v>36714.21</v>
      </c>
      <c r="F114" s="97">
        <v>12125.96</v>
      </c>
      <c r="G114" s="24"/>
      <c r="H114" s="97"/>
    </row>
    <row r="115" spans="2:8" x14ac:dyDescent="0.25">
      <c r="B115" s="33">
        <v>42339</v>
      </c>
      <c r="C115" s="96">
        <v>2528.1</v>
      </c>
      <c r="D115" s="97">
        <v>1092</v>
      </c>
      <c r="E115" s="96">
        <v>42779.4</v>
      </c>
      <c r="F115" s="97">
        <v>13768.2</v>
      </c>
      <c r="G115" s="24"/>
      <c r="H115" s="97"/>
    </row>
    <row r="116" spans="2:8" x14ac:dyDescent="0.25">
      <c r="B116" s="33">
        <v>42370</v>
      </c>
      <c r="C116" s="95">
        <v>2448.81</v>
      </c>
      <c r="D116" s="97">
        <v>1184.3</v>
      </c>
      <c r="E116" s="95">
        <v>36574.839999999997</v>
      </c>
      <c r="F116" s="97">
        <v>11013.11</v>
      </c>
      <c r="G116" s="24"/>
      <c r="H116" s="43"/>
    </row>
    <row r="117" spans="2:8" x14ac:dyDescent="0.25">
      <c r="B117" s="33">
        <v>42401</v>
      </c>
      <c r="C117" s="95">
        <v>3276.64</v>
      </c>
      <c r="D117" s="97">
        <v>1636.25</v>
      </c>
      <c r="E117" s="95">
        <v>43292.1</v>
      </c>
      <c r="F117" s="97">
        <v>12200.37</v>
      </c>
      <c r="G117" s="24"/>
      <c r="H117" s="43"/>
    </row>
    <row r="118" spans="2:8" x14ac:dyDescent="0.25">
      <c r="B118" s="33">
        <v>42430</v>
      </c>
      <c r="C118" s="95">
        <v>4168.55</v>
      </c>
      <c r="D118" s="97">
        <v>2206.0700000000002</v>
      </c>
      <c r="E118" s="95">
        <v>37571.21</v>
      </c>
      <c r="F118" s="97">
        <v>9886.75</v>
      </c>
      <c r="G118" s="24"/>
      <c r="H118" s="43"/>
    </row>
    <row r="119" spans="2:8" x14ac:dyDescent="0.25">
      <c r="B119" s="33">
        <v>42461</v>
      </c>
      <c r="C119" s="95">
        <v>4803.8500000000004</v>
      </c>
      <c r="D119" s="97">
        <v>2540.37</v>
      </c>
      <c r="E119" s="95">
        <v>39312.620000000003</v>
      </c>
      <c r="F119" s="97">
        <v>9516.83</v>
      </c>
      <c r="G119" s="24"/>
      <c r="H119" s="43"/>
    </row>
    <row r="120" spans="2:8" x14ac:dyDescent="0.25">
      <c r="B120" s="33">
        <v>42491</v>
      </c>
      <c r="C120" s="95">
        <v>4814.01</v>
      </c>
      <c r="D120" s="97">
        <v>2170.48</v>
      </c>
      <c r="E120" s="95">
        <v>44901.21</v>
      </c>
      <c r="F120" s="97">
        <v>10657.68</v>
      </c>
      <c r="G120" s="24"/>
      <c r="H120" s="43"/>
    </row>
    <row r="121" spans="2:8" x14ac:dyDescent="0.25">
      <c r="B121" s="33">
        <v>42522</v>
      </c>
      <c r="C121" s="95">
        <v>4982.7</v>
      </c>
      <c r="D121" s="97">
        <v>2369.1</v>
      </c>
      <c r="E121" s="95">
        <v>52175.28</v>
      </c>
      <c r="F121" s="97">
        <v>12613.19</v>
      </c>
      <c r="G121" s="24"/>
      <c r="H121" s="43"/>
    </row>
    <row r="122" spans="2:8" x14ac:dyDescent="0.25">
      <c r="B122" s="33">
        <v>42552</v>
      </c>
      <c r="C122" s="95">
        <v>3986.91</v>
      </c>
      <c r="D122" s="97">
        <v>1797.66</v>
      </c>
      <c r="E122" s="95">
        <v>42751.15</v>
      </c>
      <c r="F122" s="97">
        <v>10679.32</v>
      </c>
      <c r="G122" s="24"/>
      <c r="H122" s="43"/>
    </row>
    <row r="123" spans="2:8" x14ac:dyDescent="0.25">
      <c r="B123" s="33">
        <v>42583</v>
      </c>
      <c r="C123" s="95">
        <v>3718.69</v>
      </c>
      <c r="D123" s="97">
        <v>1636.87</v>
      </c>
      <c r="E123" s="95">
        <v>39672.660000000003</v>
      </c>
      <c r="F123" s="97">
        <v>9993.36</v>
      </c>
      <c r="G123" s="24"/>
      <c r="H123" s="43"/>
    </row>
    <row r="124" spans="2:8" x14ac:dyDescent="0.25">
      <c r="B124" s="33">
        <v>42614</v>
      </c>
      <c r="C124" s="95">
        <v>3172.75</v>
      </c>
      <c r="D124" s="97">
        <v>1398.5</v>
      </c>
      <c r="E124" s="95">
        <v>33528.46</v>
      </c>
      <c r="F124" s="97">
        <v>8453.73</v>
      </c>
      <c r="G124" s="24"/>
      <c r="H124" s="43"/>
    </row>
    <row r="125" spans="2:8" x14ac:dyDescent="0.25">
      <c r="B125" s="33">
        <v>42644</v>
      </c>
      <c r="C125" s="95">
        <v>3116.14</v>
      </c>
      <c r="D125" s="97">
        <v>1489.24</v>
      </c>
      <c r="E125" s="95">
        <v>29655.58</v>
      </c>
      <c r="F125" s="97">
        <v>7547.5</v>
      </c>
      <c r="G125" s="24"/>
      <c r="H125" s="43"/>
    </row>
    <row r="126" spans="2:8" x14ac:dyDescent="0.25">
      <c r="B126" s="33">
        <v>42675</v>
      </c>
      <c r="C126" s="95">
        <v>3928.6</v>
      </c>
      <c r="D126" s="97">
        <v>1690.64</v>
      </c>
      <c r="E126" s="95">
        <v>41138.04</v>
      </c>
      <c r="F126" s="97">
        <v>11123.43</v>
      </c>
      <c r="G126" s="24"/>
      <c r="H126" s="43"/>
    </row>
    <row r="127" spans="2:8" x14ac:dyDescent="0.25">
      <c r="B127" s="33">
        <v>42705</v>
      </c>
      <c r="C127" s="95">
        <v>2885.77</v>
      </c>
      <c r="D127" s="97">
        <v>1251.95</v>
      </c>
      <c r="E127" s="95">
        <v>39396.120000000003</v>
      </c>
      <c r="F127" s="97">
        <v>10811.39</v>
      </c>
      <c r="G127" s="24"/>
      <c r="H127" s="43"/>
    </row>
    <row r="128" spans="2:8" x14ac:dyDescent="0.25">
      <c r="B128" s="33">
        <v>42736</v>
      </c>
      <c r="C128" s="95">
        <v>3213.6</v>
      </c>
      <c r="D128" s="97">
        <v>1552.64</v>
      </c>
      <c r="E128" s="95">
        <v>46434.400000000001</v>
      </c>
      <c r="F128" s="97">
        <v>14072.07</v>
      </c>
      <c r="G128" s="24"/>
      <c r="H128" s="43"/>
    </row>
    <row r="129" spans="2:8" x14ac:dyDescent="0.25">
      <c r="B129" s="33">
        <v>42767</v>
      </c>
      <c r="C129" s="95">
        <v>3868.37</v>
      </c>
      <c r="D129" s="97">
        <v>2093.59</v>
      </c>
      <c r="E129" s="95">
        <v>33897.69</v>
      </c>
      <c r="F129" s="97">
        <v>10879.8</v>
      </c>
      <c r="G129" s="24"/>
      <c r="H129" s="43"/>
    </row>
    <row r="130" spans="2:8" x14ac:dyDescent="0.25">
      <c r="B130" s="33">
        <v>42795</v>
      </c>
      <c r="C130" s="95">
        <v>5447.43</v>
      </c>
      <c r="D130" s="97">
        <v>3231.4</v>
      </c>
      <c r="E130" s="95">
        <v>33662.22</v>
      </c>
      <c r="F130" s="97">
        <v>10693.17</v>
      </c>
      <c r="G130" s="24"/>
      <c r="H130" s="43"/>
    </row>
    <row r="131" spans="2:8" x14ac:dyDescent="0.25">
      <c r="B131" s="33">
        <v>42826</v>
      </c>
      <c r="C131" s="95">
        <v>4200.84</v>
      </c>
      <c r="D131" s="97">
        <v>2697.57</v>
      </c>
      <c r="E131" s="95">
        <v>32091.19</v>
      </c>
      <c r="F131" s="97">
        <v>9991.02</v>
      </c>
      <c r="G131" s="24"/>
      <c r="H131" s="43"/>
    </row>
    <row r="132" spans="2:8" x14ac:dyDescent="0.25">
      <c r="B132" s="33">
        <v>42856</v>
      </c>
      <c r="C132" s="95">
        <v>5423.67</v>
      </c>
      <c r="D132" s="97">
        <v>3116.68</v>
      </c>
      <c r="E132" s="95">
        <v>39328.769999999997</v>
      </c>
      <c r="F132" s="97">
        <v>12354.06</v>
      </c>
      <c r="G132" s="24"/>
      <c r="H132" s="43"/>
    </row>
    <row r="133" spans="2:8" x14ac:dyDescent="0.25">
      <c r="B133" s="33">
        <v>42887</v>
      </c>
      <c r="C133" s="95">
        <v>4442.8900000000003</v>
      </c>
      <c r="D133" s="97">
        <v>2500.75</v>
      </c>
      <c r="E133" s="95">
        <v>42369.54</v>
      </c>
      <c r="F133" s="97">
        <v>13485.25</v>
      </c>
      <c r="G133" s="24"/>
      <c r="H133" s="43"/>
    </row>
    <row r="134" spans="2:8" x14ac:dyDescent="0.25">
      <c r="B134" s="33">
        <v>42917</v>
      </c>
      <c r="C134" s="95">
        <v>3597.63</v>
      </c>
      <c r="D134" s="97">
        <v>1971.05</v>
      </c>
      <c r="E134" s="95">
        <v>41437.019999999997</v>
      </c>
      <c r="F134" s="97">
        <v>13442.3</v>
      </c>
      <c r="G134" s="24"/>
      <c r="H134" s="43"/>
    </row>
    <row r="135" spans="2:8" x14ac:dyDescent="0.25">
      <c r="B135" s="33">
        <v>42948</v>
      </c>
      <c r="C135" s="95">
        <v>2648.78</v>
      </c>
      <c r="D135" s="97">
        <v>1311.27</v>
      </c>
      <c r="E135" s="95">
        <v>29628.45</v>
      </c>
      <c r="F135" s="97">
        <v>9268.76</v>
      </c>
      <c r="G135" s="24"/>
      <c r="H135" s="43"/>
    </row>
    <row r="136" spans="2:8" x14ac:dyDescent="0.25">
      <c r="B136" s="33">
        <v>42979</v>
      </c>
      <c r="C136" s="95">
        <v>3133.57</v>
      </c>
      <c r="D136" s="97">
        <v>1516.1</v>
      </c>
      <c r="E136" s="95">
        <v>43469.19</v>
      </c>
      <c r="F136" s="97">
        <v>13569.85</v>
      </c>
      <c r="G136" s="24"/>
      <c r="H136" s="43"/>
    </row>
    <row r="137" spans="2:8" x14ac:dyDescent="0.25">
      <c r="B137" s="33">
        <v>43009</v>
      </c>
      <c r="C137" s="95">
        <v>2335.0300000000002</v>
      </c>
      <c r="D137" s="97">
        <v>1121.21</v>
      </c>
      <c r="E137" s="95">
        <v>41172.86</v>
      </c>
      <c r="F137" s="97">
        <v>13147.28</v>
      </c>
      <c r="G137" s="24"/>
      <c r="H137" s="43"/>
    </row>
    <row r="138" spans="2:8" x14ac:dyDescent="0.25">
      <c r="B138" s="33">
        <v>43040</v>
      </c>
      <c r="C138" s="95">
        <v>3195.62</v>
      </c>
      <c r="D138" s="97">
        <v>1565.89</v>
      </c>
      <c r="E138" s="95">
        <v>39127.97</v>
      </c>
      <c r="F138" s="97">
        <v>12712.92</v>
      </c>
      <c r="G138" s="24"/>
      <c r="H138" s="43"/>
    </row>
    <row r="139" spans="2:8" x14ac:dyDescent="0.25">
      <c r="B139" s="33">
        <v>43070</v>
      </c>
      <c r="C139" s="95">
        <v>1955.49</v>
      </c>
      <c r="D139" s="43">
        <v>774.53</v>
      </c>
      <c r="E139" s="95">
        <v>44412.57</v>
      </c>
      <c r="F139" s="97">
        <v>13634.34</v>
      </c>
      <c r="G139" s="24"/>
      <c r="H139" s="43"/>
    </row>
    <row r="140" spans="2:8" x14ac:dyDescent="0.25">
      <c r="B140" s="33">
        <v>43101</v>
      </c>
      <c r="C140" s="95">
        <v>2509.2600000000002</v>
      </c>
      <c r="D140" s="97">
        <v>1285.98</v>
      </c>
      <c r="E140" s="95">
        <v>48446.76</v>
      </c>
      <c r="F140" s="97">
        <v>14964.45</v>
      </c>
      <c r="G140" s="24"/>
      <c r="H140" s="43"/>
    </row>
    <row r="141" spans="2:8" x14ac:dyDescent="0.25">
      <c r="B141" s="33">
        <v>43132</v>
      </c>
      <c r="C141" s="95">
        <v>2834.28</v>
      </c>
      <c r="D141" s="97">
        <v>1612.42</v>
      </c>
      <c r="E141" s="95">
        <v>47356.65</v>
      </c>
      <c r="F141" s="97">
        <v>14656.94</v>
      </c>
      <c r="G141" s="24"/>
      <c r="H141" s="43"/>
    </row>
    <row r="142" spans="2:8" x14ac:dyDescent="0.25">
      <c r="B142" s="33">
        <v>43160</v>
      </c>
      <c r="C142" s="95">
        <v>3936.1</v>
      </c>
      <c r="D142" s="97">
        <v>2236.94</v>
      </c>
      <c r="E142" s="95">
        <v>34487.699999999997</v>
      </c>
      <c r="F142" s="97">
        <v>10470.94</v>
      </c>
      <c r="G142" s="24"/>
      <c r="H142" s="43"/>
    </row>
    <row r="143" spans="2:8" x14ac:dyDescent="0.25">
      <c r="B143" s="33">
        <v>43191</v>
      </c>
      <c r="C143" s="95">
        <v>4550.24</v>
      </c>
      <c r="D143" s="97">
        <v>2822.2</v>
      </c>
      <c r="E143" s="95">
        <v>33564.660000000003</v>
      </c>
      <c r="F143" s="97">
        <v>9829.58</v>
      </c>
      <c r="G143" s="24"/>
      <c r="H143" s="43"/>
    </row>
    <row r="144" spans="2:8" x14ac:dyDescent="0.25">
      <c r="B144" s="33">
        <v>43221</v>
      </c>
      <c r="C144" s="95">
        <v>5572.91</v>
      </c>
      <c r="D144" s="97">
        <v>3209.36</v>
      </c>
      <c r="E144" s="95">
        <v>42532.98</v>
      </c>
      <c r="F144" s="97">
        <v>11703.03</v>
      </c>
      <c r="G144" s="24"/>
      <c r="H144" s="43"/>
    </row>
    <row r="145" spans="2:8" x14ac:dyDescent="0.25">
      <c r="B145" s="33">
        <v>43252</v>
      </c>
      <c r="C145" s="95">
        <v>4649.03</v>
      </c>
      <c r="D145" s="97">
        <v>2664.46</v>
      </c>
      <c r="E145" s="95">
        <v>45182.21</v>
      </c>
      <c r="F145" s="97">
        <v>12463.24</v>
      </c>
      <c r="G145" s="24"/>
      <c r="H145" s="43"/>
    </row>
    <row r="146" spans="2:8" x14ac:dyDescent="0.25">
      <c r="B146" s="33">
        <v>43282</v>
      </c>
      <c r="C146" s="95">
        <v>4683.09</v>
      </c>
      <c r="D146" s="97">
        <v>2457.0500000000002</v>
      </c>
      <c r="E146" s="95">
        <v>45242.32</v>
      </c>
      <c r="F146" s="97">
        <v>12226.12</v>
      </c>
      <c r="G146" s="24"/>
      <c r="H146" s="43"/>
    </row>
    <row r="147" spans="2:8" x14ac:dyDescent="0.25">
      <c r="B147" s="33">
        <v>43313</v>
      </c>
      <c r="C147" s="95">
        <v>2972.69</v>
      </c>
      <c r="D147" s="97">
        <v>1546.91</v>
      </c>
      <c r="E147" s="95">
        <v>38022.53</v>
      </c>
      <c r="F147" s="97">
        <v>9919.4699999999993</v>
      </c>
      <c r="G147" s="24"/>
      <c r="H147" s="43"/>
    </row>
    <row r="148" spans="2:8" x14ac:dyDescent="0.25">
      <c r="B148" s="33">
        <v>43344</v>
      </c>
      <c r="C148" s="95">
        <v>2519.5300000000002</v>
      </c>
      <c r="D148" s="97">
        <v>1141.3900000000001</v>
      </c>
      <c r="E148" s="95">
        <v>40267.54</v>
      </c>
      <c r="F148" s="97">
        <v>10478.620000000001</v>
      </c>
      <c r="G148" s="24"/>
      <c r="H148" s="43"/>
    </row>
    <row r="149" spans="2:8" x14ac:dyDescent="0.25">
      <c r="B149" s="33">
        <v>43374</v>
      </c>
      <c r="C149" s="95">
        <v>3521.39</v>
      </c>
      <c r="D149" s="97">
        <v>1467.33</v>
      </c>
      <c r="E149" s="95">
        <v>43893.85</v>
      </c>
      <c r="F149" s="97">
        <v>11327.26</v>
      </c>
      <c r="G149" s="24"/>
      <c r="H149" s="43"/>
    </row>
    <row r="150" spans="2:8" x14ac:dyDescent="0.25">
      <c r="B150" s="33">
        <v>43405</v>
      </c>
      <c r="C150" s="95">
        <v>4619.4799999999996</v>
      </c>
      <c r="D150" s="97">
        <v>1729.5</v>
      </c>
      <c r="E150" s="95">
        <v>44107.54</v>
      </c>
      <c r="F150" s="97">
        <v>11014.55</v>
      </c>
      <c r="G150" s="24"/>
      <c r="H150" s="43"/>
    </row>
    <row r="151" spans="2:8" x14ac:dyDescent="0.25">
      <c r="B151" s="33">
        <v>43435</v>
      </c>
      <c r="C151" s="95">
        <v>2311.6</v>
      </c>
      <c r="D151" s="43">
        <v>921.35</v>
      </c>
      <c r="E151" s="95">
        <v>38680.959999999999</v>
      </c>
      <c r="F151" s="97">
        <v>9781.31</v>
      </c>
      <c r="G151" s="24"/>
      <c r="H151" s="43"/>
    </row>
    <row r="152" spans="2:8" x14ac:dyDescent="0.25">
      <c r="B152" s="33">
        <v>43466</v>
      </c>
      <c r="C152" s="95">
        <v>3469.39</v>
      </c>
      <c r="D152" s="97">
        <v>1498.72</v>
      </c>
      <c r="E152" s="95">
        <v>48622.81</v>
      </c>
      <c r="F152" s="97">
        <v>11831.3</v>
      </c>
      <c r="G152" s="24"/>
      <c r="H152" s="43"/>
    </row>
    <row r="153" spans="2:8" x14ac:dyDescent="0.25">
      <c r="B153" s="33">
        <v>43497</v>
      </c>
      <c r="C153" s="95">
        <v>4567.37</v>
      </c>
      <c r="D153" s="97">
        <v>1903.18</v>
      </c>
      <c r="E153" s="95">
        <v>41026.620000000003</v>
      </c>
      <c r="F153" s="97">
        <v>9638.24</v>
      </c>
      <c r="G153" s="24"/>
      <c r="H153" s="43"/>
    </row>
    <row r="154" spans="2:8" x14ac:dyDescent="0.25">
      <c r="B154" s="33">
        <v>43525</v>
      </c>
      <c r="C154" s="95">
        <v>4351.34</v>
      </c>
      <c r="D154" s="97">
        <v>2256.1799999999998</v>
      </c>
      <c r="E154" s="95">
        <v>42457.17</v>
      </c>
      <c r="F154" s="97">
        <v>9910.41</v>
      </c>
      <c r="G154" s="24"/>
      <c r="H154" s="43"/>
    </row>
    <row r="155" spans="2:8" x14ac:dyDescent="0.25">
      <c r="B155" s="33">
        <v>43556</v>
      </c>
      <c r="C155" s="95">
        <v>4551.54</v>
      </c>
      <c r="D155" s="97">
        <v>2500.94</v>
      </c>
      <c r="E155" s="95">
        <v>36883.919999999998</v>
      </c>
      <c r="F155" s="97">
        <v>8630.5400000000009</v>
      </c>
      <c r="G155" s="24"/>
      <c r="H155" s="43"/>
    </row>
    <row r="156" spans="2:8" x14ac:dyDescent="0.25">
      <c r="B156" s="33">
        <v>43586</v>
      </c>
      <c r="C156" s="95">
        <v>5489.9</v>
      </c>
      <c r="D156" s="97">
        <v>2699.81</v>
      </c>
      <c r="E156" s="95">
        <v>36993.68</v>
      </c>
      <c r="F156" s="97">
        <v>9292.7999999999993</v>
      </c>
      <c r="G156" s="24"/>
      <c r="H156" s="43"/>
    </row>
    <row r="157" spans="2:8" x14ac:dyDescent="0.25">
      <c r="B157" s="33">
        <v>43617</v>
      </c>
      <c r="C157" s="95">
        <v>4548.7</v>
      </c>
      <c r="D157" s="97">
        <v>1963.94</v>
      </c>
      <c r="E157" s="95">
        <v>29355.17</v>
      </c>
      <c r="F157" s="97">
        <v>7154.11</v>
      </c>
      <c r="G157" s="24"/>
      <c r="H157" s="43"/>
    </row>
    <row r="158" spans="2:8" x14ac:dyDescent="0.25">
      <c r="B158" s="33">
        <v>43647</v>
      </c>
      <c r="C158" s="95">
        <v>5115.45</v>
      </c>
      <c r="D158" s="97">
        <v>1713.18</v>
      </c>
      <c r="E158" s="95">
        <v>33657.14</v>
      </c>
      <c r="F158" s="97">
        <v>7788.4</v>
      </c>
      <c r="G158" s="24"/>
      <c r="H158" s="43"/>
    </row>
    <row r="159" spans="2:8" x14ac:dyDescent="0.25">
      <c r="B159" s="33">
        <v>43678</v>
      </c>
      <c r="C159" s="95">
        <v>3931.89</v>
      </c>
      <c r="D159" s="97">
        <v>1461.51</v>
      </c>
      <c r="E159" s="95">
        <v>41275.96</v>
      </c>
      <c r="F159" s="97">
        <v>9458.09</v>
      </c>
      <c r="G159" s="24"/>
      <c r="H159" s="43"/>
    </row>
    <row r="160" spans="2:8" x14ac:dyDescent="0.25">
      <c r="B160" s="33">
        <v>43709</v>
      </c>
      <c r="C160" s="95">
        <v>3144.73</v>
      </c>
      <c r="D160" s="97">
        <v>1112.6500000000001</v>
      </c>
      <c r="E160" s="95">
        <v>36325.07</v>
      </c>
      <c r="F160" s="97">
        <v>8462.91</v>
      </c>
      <c r="G160" s="24"/>
      <c r="H160" s="43"/>
    </row>
    <row r="161" spans="2:8" x14ac:dyDescent="0.25">
      <c r="B161" s="33">
        <v>43739</v>
      </c>
      <c r="C161" s="95">
        <v>3985.76</v>
      </c>
      <c r="D161" s="97">
        <v>1390.06</v>
      </c>
      <c r="E161" s="95">
        <v>45373.9</v>
      </c>
      <c r="F161" s="97">
        <v>11064.77</v>
      </c>
      <c r="G161" s="24"/>
      <c r="H161" s="43"/>
    </row>
    <row r="162" spans="2:8" x14ac:dyDescent="0.25">
      <c r="B162" s="33">
        <v>43770</v>
      </c>
      <c r="C162" s="95">
        <v>3664.41</v>
      </c>
      <c r="D162" s="97">
        <v>1175.6600000000001</v>
      </c>
      <c r="E162" s="95">
        <v>43650.47</v>
      </c>
      <c r="F162" s="97">
        <v>10735.39</v>
      </c>
      <c r="G162" s="24"/>
      <c r="H162" s="43"/>
    </row>
    <row r="163" spans="2:8" x14ac:dyDescent="0.25">
      <c r="B163" s="33">
        <v>43800</v>
      </c>
      <c r="C163" s="96">
        <v>1905.94</v>
      </c>
      <c r="D163" s="43">
        <v>633.74</v>
      </c>
      <c r="E163" s="96">
        <v>39312.400000000001</v>
      </c>
      <c r="F163" s="97">
        <v>9483.99</v>
      </c>
      <c r="G163" s="24"/>
      <c r="H163" s="43"/>
    </row>
    <row r="164" spans="2:8" x14ac:dyDescent="0.25">
      <c r="B164" s="33">
        <v>43831</v>
      </c>
      <c r="C164" s="96">
        <v>2639.38</v>
      </c>
      <c r="D164" s="43">
        <v>985.32</v>
      </c>
      <c r="E164" s="95">
        <v>48770.49</v>
      </c>
      <c r="F164" s="71">
        <v>11452.01</v>
      </c>
      <c r="G164" s="24"/>
      <c r="H164" s="43"/>
    </row>
    <row r="165" spans="2:8" x14ac:dyDescent="0.25">
      <c r="B165" s="33">
        <v>43862</v>
      </c>
      <c r="C165" s="96">
        <v>3168.5</v>
      </c>
      <c r="D165" s="97">
        <v>1686.82</v>
      </c>
      <c r="E165" s="95">
        <v>47569.72</v>
      </c>
      <c r="F165" s="71">
        <v>11021.86</v>
      </c>
      <c r="G165" s="24"/>
      <c r="H165" s="43"/>
    </row>
    <row r="166" spans="2:8" x14ac:dyDescent="0.25">
      <c r="B166" s="33">
        <v>43891</v>
      </c>
      <c r="C166" s="96">
        <v>4604.42</v>
      </c>
      <c r="D166" s="97">
        <v>2410.16</v>
      </c>
      <c r="E166" s="95">
        <v>51440.71</v>
      </c>
      <c r="F166" s="71">
        <v>11665.48</v>
      </c>
      <c r="G166" s="24"/>
      <c r="H166" s="43"/>
    </row>
    <row r="167" spans="2:8" x14ac:dyDescent="0.25">
      <c r="B167" s="33">
        <v>43922</v>
      </c>
      <c r="C167" s="96">
        <v>4395.5200000000004</v>
      </c>
      <c r="D167" s="97">
        <v>2590.1999999999998</v>
      </c>
      <c r="E167" s="95">
        <v>57722.34</v>
      </c>
      <c r="F167" s="71">
        <v>13192.62</v>
      </c>
      <c r="G167" s="24"/>
      <c r="H167" s="43"/>
    </row>
    <row r="168" spans="2:8" x14ac:dyDescent="0.25">
      <c r="B168" s="33">
        <v>43952</v>
      </c>
      <c r="C168" s="96">
        <v>4312.75</v>
      </c>
      <c r="D168" s="97">
        <v>2279.12</v>
      </c>
      <c r="E168" s="95">
        <v>48594.07</v>
      </c>
      <c r="F168" s="71">
        <v>11289.33</v>
      </c>
      <c r="G168" s="24"/>
      <c r="H168" s="43"/>
    </row>
    <row r="169" spans="2:8" x14ac:dyDescent="0.25">
      <c r="B169" s="33">
        <v>43983</v>
      </c>
      <c r="C169" s="96">
        <v>5414.08</v>
      </c>
      <c r="D169" s="97">
        <v>2956.33</v>
      </c>
      <c r="E169" s="95">
        <v>46399.01</v>
      </c>
      <c r="F169" s="71">
        <v>10293</v>
      </c>
      <c r="G169" s="24"/>
      <c r="H169" s="43"/>
    </row>
    <row r="170" spans="2:8" x14ac:dyDescent="0.25">
      <c r="B170" s="33">
        <v>44013</v>
      </c>
      <c r="C170" s="96">
        <v>3546.25</v>
      </c>
      <c r="D170" s="97">
        <v>1799.26</v>
      </c>
      <c r="E170" s="95">
        <v>46850.57</v>
      </c>
      <c r="F170" s="71">
        <v>10013.82</v>
      </c>
      <c r="G170" s="24"/>
      <c r="H170" s="43"/>
    </row>
    <row r="171" spans="2:8" x14ac:dyDescent="0.25">
      <c r="B171" s="33">
        <v>44044</v>
      </c>
      <c r="C171" s="96">
        <v>3181.82</v>
      </c>
      <c r="D171" s="97">
        <v>1484.15</v>
      </c>
      <c r="E171" s="95">
        <v>47034.93</v>
      </c>
      <c r="F171" s="71">
        <v>10269.11</v>
      </c>
      <c r="G171" s="24"/>
      <c r="H171" s="43"/>
    </row>
    <row r="172" spans="2:8" x14ac:dyDescent="0.25">
      <c r="B172" s="33">
        <v>44075</v>
      </c>
      <c r="C172" s="96">
        <v>3391.49</v>
      </c>
      <c r="D172" s="97">
        <v>1606.84</v>
      </c>
      <c r="E172" s="95">
        <v>44724.7</v>
      </c>
      <c r="F172" s="71">
        <v>10199.89</v>
      </c>
      <c r="G172" s="24"/>
      <c r="H172" s="43"/>
    </row>
    <row r="173" spans="2:8" x14ac:dyDescent="0.25">
      <c r="B173" s="33">
        <v>44105</v>
      </c>
      <c r="C173" s="96">
        <v>2732.15</v>
      </c>
      <c r="D173" s="97">
        <v>1322.08</v>
      </c>
      <c r="E173" s="95">
        <v>43655.91</v>
      </c>
      <c r="F173" s="71">
        <v>9937.34</v>
      </c>
      <c r="G173" s="24"/>
      <c r="H173" s="43"/>
    </row>
    <row r="174" spans="2:8" x14ac:dyDescent="0.25">
      <c r="B174" s="33">
        <v>44136</v>
      </c>
      <c r="C174" s="96">
        <v>3594.29</v>
      </c>
      <c r="D174" s="97">
        <v>1836.61</v>
      </c>
      <c r="E174" s="95">
        <v>46352.88</v>
      </c>
      <c r="F174" s="71">
        <v>10610.96</v>
      </c>
      <c r="G174" s="24"/>
      <c r="H174" s="43"/>
    </row>
    <row r="175" spans="2:8" x14ac:dyDescent="0.25">
      <c r="B175" s="33">
        <v>44166</v>
      </c>
      <c r="C175" s="96">
        <v>2405.44</v>
      </c>
      <c r="D175" s="97">
        <v>1284.8399999999999</v>
      </c>
      <c r="E175" s="95">
        <v>46166.69</v>
      </c>
      <c r="F175" s="71">
        <v>10300.58</v>
      </c>
      <c r="G175" s="24"/>
      <c r="H175" s="43"/>
    </row>
    <row r="176" spans="2:8" x14ac:dyDescent="0.25">
      <c r="B176" s="33">
        <v>44197</v>
      </c>
      <c r="C176" s="96">
        <v>2129.36</v>
      </c>
      <c r="D176" s="97">
        <v>1342.45</v>
      </c>
      <c r="E176" s="95">
        <v>48811.79</v>
      </c>
      <c r="F176" s="71">
        <v>11378.64</v>
      </c>
      <c r="G176" s="24"/>
      <c r="H176" s="43"/>
    </row>
    <row r="177" spans="2:8" x14ac:dyDescent="0.25">
      <c r="B177" s="33">
        <v>44228</v>
      </c>
      <c r="C177" s="96">
        <v>3481.13</v>
      </c>
      <c r="D177" s="97">
        <v>2161.12</v>
      </c>
      <c r="E177" s="95">
        <v>50389.919999999998</v>
      </c>
      <c r="F177" s="71">
        <v>11725.86</v>
      </c>
      <c r="G177" s="24"/>
      <c r="H177" s="43"/>
    </row>
    <row r="178" spans="2:8" x14ac:dyDescent="0.25">
      <c r="B178" s="33">
        <v>44256</v>
      </c>
      <c r="C178" s="96">
        <v>6065.07</v>
      </c>
      <c r="D178" s="97">
        <v>4556.9399999999996</v>
      </c>
      <c r="E178" s="95">
        <v>53432.1</v>
      </c>
      <c r="F178" s="71">
        <v>12672.9</v>
      </c>
      <c r="G178" s="24"/>
      <c r="H178" s="43"/>
    </row>
    <row r="179" spans="2:8" x14ac:dyDescent="0.25">
      <c r="B179" s="33">
        <v>44287</v>
      </c>
      <c r="C179" s="96">
        <v>3337.01</v>
      </c>
      <c r="D179" s="97">
        <v>2307.12</v>
      </c>
      <c r="E179" s="95">
        <v>51899.23</v>
      </c>
      <c r="F179" s="71">
        <v>11575.75</v>
      </c>
      <c r="G179" s="24"/>
      <c r="H179" s="43"/>
    </row>
    <row r="180" spans="2:8" x14ac:dyDescent="0.25">
      <c r="B180" s="33">
        <v>44317</v>
      </c>
      <c r="C180" s="96">
        <v>4430.33</v>
      </c>
      <c r="D180" s="97">
        <v>3010.49</v>
      </c>
      <c r="E180" s="95">
        <v>50041.59</v>
      </c>
      <c r="F180" s="71">
        <v>11070.79</v>
      </c>
      <c r="G180" s="24"/>
      <c r="H180" s="43"/>
    </row>
    <row r="181" spans="2:8" x14ac:dyDescent="0.25">
      <c r="B181" s="33">
        <v>44348</v>
      </c>
      <c r="C181" s="96">
        <v>3436.88</v>
      </c>
      <c r="D181" s="97">
        <v>2271.77</v>
      </c>
      <c r="E181" s="95">
        <v>43993.25</v>
      </c>
      <c r="F181" s="71">
        <v>9547.74</v>
      </c>
      <c r="G181" s="24"/>
      <c r="H181" s="43"/>
    </row>
    <row r="182" spans="2:8" x14ac:dyDescent="0.25">
      <c r="B182" s="33">
        <v>44378</v>
      </c>
      <c r="C182" s="96">
        <v>2696.29</v>
      </c>
      <c r="D182" s="97">
        <v>1763.9</v>
      </c>
      <c r="E182" s="95">
        <v>43844.480000000003</v>
      </c>
      <c r="F182" s="71">
        <v>9203.5</v>
      </c>
      <c r="G182" s="24"/>
      <c r="H182" s="43"/>
    </row>
    <row r="183" spans="2:8" x14ac:dyDescent="0.25">
      <c r="B183" s="33">
        <v>44409</v>
      </c>
      <c r="C183" s="96">
        <v>2504.38</v>
      </c>
      <c r="D183" s="97">
        <v>1657.82</v>
      </c>
      <c r="E183" s="95">
        <v>44421.07</v>
      </c>
      <c r="F183" s="71">
        <v>9874.4</v>
      </c>
      <c r="G183" s="24"/>
      <c r="H183" s="43"/>
    </row>
    <row r="184" spans="2:8" x14ac:dyDescent="0.25">
      <c r="B184" s="33">
        <v>44440</v>
      </c>
      <c r="C184" s="96">
        <v>2480.29</v>
      </c>
      <c r="D184" s="97">
        <v>1735.13</v>
      </c>
      <c r="E184" s="95">
        <v>36307.660000000003</v>
      </c>
      <c r="F184" s="71">
        <v>8565.59</v>
      </c>
      <c r="G184" s="24"/>
      <c r="H184" s="43"/>
    </row>
    <row r="185" spans="2:8" x14ac:dyDescent="0.25">
      <c r="B185" s="33">
        <v>44470</v>
      </c>
      <c r="C185" s="96">
        <v>2432.1999999999998</v>
      </c>
      <c r="D185" s="97">
        <v>1674.37</v>
      </c>
      <c r="E185" s="95">
        <v>40078.089999999997</v>
      </c>
      <c r="F185" s="71">
        <v>10316.469999999999</v>
      </c>
      <c r="G185" s="24"/>
      <c r="H185" s="43"/>
    </row>
    <row r="186" spans="2:8" x14ac:dyDescent="0.25">
      <c r="B186" s="33">
        <v>44501</v>
      </c>
      <c r="C186" s="96">
        <v>2170.19</v>
      </c>
      <c r="D186" s="97">
        <v>1740.12</v>
      </c>
      <c r="E186" s="95">
        <v>45318.19</v>
      </c>
      <c r="F186" s="71">
        <v>12180.56</v>
      </c>
      <c r="G186" s="24"/>
      <c r="H186" s="43"/>
    </row>
    <row r="187" spans="2:8" x14ac:dyDescent="0.25">
      <c r="B187" s="33">
        <v>44531</v>
      </c>
      <c r="C187" s="96">
        <v>2314.35</v>
      </c>
      <c r="D187" s="97">
        <v>1918.64</v>
      </c>
      <c r="E187" s="95">
        <v>47922.07</v>
      </c>
      <c r="F187" s="71">
        <v>12724.88</v>
      </c>
      <c r="G187" s="24"/>
      <c r="H187" s="43"/>
    </row>
    <row r="188" spans="2:8" x14ac:dyDescent="0.25">
      <c r="B188" s="33">
        <v>44562</v>
      </c>
      <c r="C188" s="96">
        <v>3238.6</v>
      </c>
      <c r="D188" s="97">
        <v>2633.51</v>
      </c>
      <c r="E188" s="96">
        <v>45584.65</v>
      </c>
      <c r="F188" s="97">
        <v>12628.76</v>
      </c>
      <c r="G188" s="24"/>
      <c r="H188" s="43"/>
    </row>
    <row r="189" spans="2:8" x14ac:dyDescent="0.25">
      <c r="B189" s="33">
        <v>44593</v>
      </c>
      <c r="C189" s="96">
        <v>4617.63</v>
      </c>
      <c r="D189" s="97">
        <v>3546.19</v>
      </c>
      <c r="E189" s="96">
        <v>44093.16</v>
      </c>
      <c r="F189" s="97">
        <v>13303.4</v>
      </c>
      <c r="G189" s="24"/>
      <c r="H189" s="43"/>
    </row>
    <row r="190" spans="2:8" x14ac:dyDescent="0.25">
      <c r="B190" s="33">
        <v>44621</v>
      </c>
      <c r="C190" s="96">
        <v>4066.91</v>
      </c>
      <c r="D190" s="97">
        <v>3415.52</v>
      </c>
      <c r="E190" s="96">
        <v>46043.56</v>
      </c>
      <c r="F190" s="97">
        <v>13558.64</v>
      </c>
      <c r="G190" s="24"/>
      <c r="H190" s="43"/>
    </row>
    <row r="191" spans="2:8" x14ac:dyDescent="0.25">
      <c r="B191" s="33">
        <v>44652</v>
      </c>
      <c r="C191" s="96">
        <v>5749.32</v>
      </c>
      <c r="D191" s="97">
        <v>4467.9799999999996</v>
      </c>
      <c r="E191" s="96">
        <v>43446.02</v>
      </c>
      <c r="F191" s="97">
        <v>12769.02</v>
      </c>
      <c r="G191" s="24"/>
      <c r="H191" s="43"/>
    </row>
    <row r="192" spans="2:8" x14ac:dyDescent="0.25">
      <c r="B192" s="33">
        <v>44682</v>
      </c>
      <c r="C192" s="96">
        <v>5902.59</v>
      </c>
      <c r="D192" s="97">
        <v>4876.67</v>
      </c>
      <c r="E192" s="96">
        <v>47380.14</v>
      </c>
      <c r="F192" s="97">
        <v>13776.91</v>
      </c>
      <c r="G192" s="24"/>
      <c r="H192" s="43"/>
    </row>
    <row r="193" spans="2:8" x14ac:dyDescent="0.25">
      <c r="B193" s="33">
        <v>44713</v>
      </c>
      <c r="C193" s="96">
        <v>4945.4799999999996</v>
      </c>
      <c r="D193" s="97">
        <v>3818.23</v>
      </c>
      <c r="E193" s="96">
        <v>46794.67</v>
      </c>
      <c r="F193" s="97">
        <v>13693.39</v>
      </c>
      <c r="G193" s="24"/>
      <c r="H193" s="43"/>
    </row>
    <row r="194" spans="2:8" x14ac:dyDescent="0.25">
      <c r="B194" s="33">
        <v>44743</v>
      </c>
      <c r="C194" s="96">
        <v>5179.34</v>
      </c>
      <c r="D194" s="97">
        <v>3824.46</v>
      </c>
      <c r="E194" s="96">
        <v>45583.93</v>
      </c>
      <c r="F194" s="97">
        <v>13464.54</v>
      </c>
      <c r="G194" s="24"/>
      <c r="H194" s="43"/>
    </row>
    <row r="195" spans="2:8" x14ac:dyDescent="0.25">
      <c r="B195" s="33">
        <v>44774</v>
      </c>
      <c r="C195" s="96">
        <v>3212.76</v>
      </c>
      <c r="D195" s="97">
        <v>2482.09</v>
      </c>
      <c r="E195" s="96">
        <v>42940.45</v>
      </c>
      <c r="F195" s="97">
        <v>12603.59</v>
      </c>
      <c r="G195" s="24"/>
      <c r="H195" s="43"/>
    </row>
    <row r="196" spans="2:8" x14ac:dyDescent="0.25">
      <c r="B196" s="33">
        <v>44805</v>
      </c>
      <c r="C196" s="96">
        <v>3172.29</v>
      </c>
      <c r="D196" s="97">
        <v>2364.86</v>
      </c>
      <c r="E196" s="96">
        <v>48312.32</v>
      </c>
      <c r="F196" s="97">
        <v>14167.67</v>
      </c>
      <c r="G196" s="24"/>
      <c r="H196" s="43"/>
    </row>
    <row r="197" spans="2:8" x14ac:dyDescent="0.25">
      <c r="B197" s="33">
        <v>44835</v>
      </c>
      <c r="C197" s="96">
        <v>3223.81</v>
      </c>
      <c r="D197" s="97">
        <v>2412.46</v>
      </c>
      <c r="E197" s="96">
        <v>41077.4</v>
      </c>
      <c r="F197" s="97">
        <v>12252.62</v>
      </c>
      <c r="G197" s="24"/>
      <c r="H197" s="43"/>
    </row>
    <row r="198" spans="2:8" x14ac:dyDescent="0.25">
      <c r="B198" s="33">
        <v>44866</v>
      </c>
      <c r="C198" s="96">
        <v>3653.89</v>
      </c>
      <c r="D198" s="97">
        <v>2387.92</v>
      </c>
      <c r="E198" s="96">
        <v>51640.54</v>
      </c>
      <c r="F198" s="97">
        <v>16035.25</v>
      </c>
      <c r="G198" s="24"/>
      <c r="H198" s="43"/>
    </row>
    <row r="199" spans="2:8" x14ac:dyDescent="0.25">
      <c r="B199" s="33">
        <v>44896</v>
      </c>
      <c r="C199" s="96">
        <v>2223.8000000000002</v>
      </c>
      <c r="D199" s="97">
        <v>1415.65</v>
      </c>
      <c r="E199" s="96">
        <v>47847.99</v>
      </c>
      <c r="F199" s="97">
        <v>14892.05</v>
      </c>
      <c r="G199" s="24"/>
      <c r="H199" s="43"/>
    </row>
    <row r="200" spans="2:8" x14ac:dyDescent="0.25">
      <c r="B200" s="33">
        <v>44927</v>
      </c>
      <c r="C200" s="95">
        <v>1921.19</v>
      </c>
      <c r="D200" s="97">
        <v>1217.32</v>
      </c>
      <c r="E200" s="95">
        <v>44556.08</v>
      </c>
      <c r="F200" s="71">
        <v>13519.65</v>
      </c>
      <c r="G200" s="24"/>
      <c r="H200" s="43"/>
    </row>
    <row r="201" spans="2:8" x14ac:dyDescent="0.25">
      <c r="B201" s="33">
        <v>44958</v>
      </c>
      <c r="C201" s="95">
        <v>3877.74</v>
      </c>
      <c r="D201" s="97">
        <v>2569.4699999999998</v>
      </c>
      <c r="E201" s="95">
        <v>44328.68</v>
      </c>
      <c r="F201" s="71">
        <v>13510.62</v>
      </c>
      <c r="G201" s="24"/>
      <c r="H201" s="43"/>
    </row>
    <row r="202" spans="2:8" x14ac:dyDescent="0.25">
      <c r="B202" s="33">
        <v>44986</v>
      </c>
      <c r="C202" s="95">
        <v>5486</v>
      </c>
      <c r="D202" s="97">
        <v>3850.91</v>
      </c>
      <c r="E202" s="95">
        <v>50831.02</v>
      </c>
      <c r="F202" s="71">
        <v>16190.79</v>
      </c>
      <c r="G202" s="24"/>
      <c r="H202" s="43"/>
    </row>
    <row r="203" spans="2:8" x14ac:dyDescent="0.25">
      <c r="B203" s="33">
        <v>45017</v>
      </c>
      <c r="C203" s="95">
        <v>5428.04</v>
      </c>
      <c r="D203" s="97">
        <v>3895.82</v>
      </c>
      <c r="E203" s="95">
        <v>37025.129999999997</v>
      </c>
      <c r="F203" s="71">
        <v>12179.71</v>
      </c>
      <c r="G203" s="24"/>
      <c r="H203" s="43"/>
    </row>
    <row r="204" spans="2:8" x14ac:dyDescent="0.25">
      <c r="B204" s="33">
        <v>45047</v>
      </c>
      <c r="C204" s="95">
        <v>6359.29</v>
      </c>
      <c r="D204" s="97">
        <v>4744.53</v>
      </c>
      <c r="E204" s="95">
        <v>48229.279999999999</v>
      </c>
      <c r="F204" s="71">
        <v>16176.45</v>
      </c>
      <c r="G204" s="24"/>
      <c r="H204" s="43"/>
    </row>
    <row r="205" spans="2:8" x14ac:dyDescent="0.25">
      <c r="B205" s="33">
        <v>45078</v>
      </c>
      <c r="C205" s="95">
        <v>7078.27</v>
      </c>
      <c r="D205" s="97">
        <v>5000.8900000000003</v>
      </c>
      <c r="E205" s="95">
        <v>45317.56</v>
      </c>
      <c r="F205" s="71">
        <v>15446.15</v>
      </c>
      <c r="G205" s="24"/>
      <c r="H205" s="43"/>
    </row>
    <row r="206" spans="2:8" x14ac:dyDescent="0.25">
      <c r="B206" s="33">
        <v>45108</v>
      </c>
      <c r="C206" s="95">
        <v>6174.9</v>
      </c>
      <c r="D206" s="97">
        <v>4191.84</v>
      </c>
      <c r="E206" s="95">
        <v>39943.620000000003</v>
      </c>
      <c r="F206" s="71">
        <v>12910.37</v>
      </c>
      <c r="G206" s="24"/>
      <c r="H206" s="43"/>
    </row>
    <row r="207" spans="2:8" x14ac:dyDescent="0.25">
      <c r="B207" s="33">
        <v>45139</v>
      </c>
      <c r="C207" s="95">
        <v>4652.03</v>
      </c>
      <c r="D207" s="97">
        <v>3263.78</v>
      </c>
      <c r="E207" s="95">
        <v>58590.66</v>
      </c>
      <c r="F207" s="71">
        <v>20193.05</v>
      </c>
      <c r="G207" s="24"/>
      <c r="H207" s="43"/>
    </row>
    <row r="208" spans="2:8" x14ac:dyDescent="0.25">
      <c r="B208" s="33">
        <v>45170</v>
      </c>
      <c r="C208" s="95">
        <v>2967.04</v>
      </c>
      <c r="D208" s="97">
        <v>2023.86</v>
      </c>
      <c r="E208" s="95">
        <v>47806.68</v>
      </c>
      <c r="F208" s="71">
        <v>16980.13</v>
      </c>
      <c r="G208" s="24"/>
      <c r="H208" s="43"/>
    </row>
    <row r="209" spans="2:8" x14ac:dyDescent="0.25">
      <c r="B209" s="33">
        <v>45200</v>
      </c>
      <c r="C209" s="95">
        <v>1704.74</v>
      </c>
      <c r="D209" s="97">
        <v>1268.72</v>
      </c>
      <c r="E209" s="95">
        <v>45359.87</v>
      </c>
      <c r="F209" s="71">
        <v>16111.63</v>
      </c>
      <c r="G209" s="24"/>
      <c r="H209" s="43"/>
    </row>
    <row r="210" spans="2:8" x14ac:dyDescent="0.25">
      <c r="B210" s="33">
        <v>45231</v>
      </c>
      <c r="C210" s="95">
        <v>1694.58</v>
      </c>
      <c r="D210" s="97">
        <v>1357.99</v>
      </c>
      <c r="E210" s="95">
        <v>49507.33</v>
      </c>
      <c r="F210" s="71">
        <v>17767.98</v>
      </c>
      <c r="G210" s="24"/>
      <c r="H210" s="43"/>
    </row>
    <row r="211" spans="2:8" x14ac:dyDescent="0.25">
      <c r="B211" s="33">
        <v>45261</v>
      </c>
      <c r="C211" s="95">
        <v>1478.34</v>
      </c>
      <c r="D211" s="97">
        <v>1225.7</v>
      </c>
      <c r="E211" s="95">
        <v>46524.9</v>
      </c>
      <c r="F211" s="71">
        <v>17283.71</v>
      </c>
      <c r="G211" s="24"/>
      <c r="H211" s="43"/>
    </row>
    <row r="212" spans="2:8" x14ac:dyDescent="0.25">
      <c r="B212" s="58">
        <v>45292</v>
      </c>
      <c r="C212" s="63">
        <v>2685.8</v>
      </c>
      <c r="D212" s="141">
        <v>2112.12</v>
      </c>
      <c r="E212" s="95">
        <v>51187.58</v>
      </c>
      <c r="F212" s="71">
        <v>18267.599999999999</v>
      </c>
      <c r="G212" s="24"/>
      <c r="H212" s="43"/>
    </row>
    <row r="213" spans="2:8" x14ac:dyDescent="0.25">
      <c r="B213" s="58">
        <v>45323</v>
      </c>
      <c r="C213" s="2">
        <v>2745.22</v>
      </c>
      <c r="D213" s="11">
        <v>2134.13</v>
      </c>
      <c r="E213" s="2">
        <v>59043.65</v>
      </c>
      <c r="F213" s="11">
        <v>20429.82</v>
      </c>
      <c r="H213" s="152"/>
    </row>
    <row r="214" spans="2:8" x14ac:dyDescent="0.25">
      <c r="B214" s="58">
        <v>45352</v>
      </c>
      <c r="C214" s="2">
        <v>4291.32</v>
      </c>
      <c r="D214" s="11">
        <v>3349.81</v>
      </c>
      <c r="E214" s="2">
        <v>59599.15</v>
      </c>
      <c r="F214" s="11">
        <v>19070.04</v>
      </c>
      <c r="H214" s="152"/>
    </row>
    <row r="215" spans="2:8" x14ac:dyDescent="0.25">
      <c r="B215" s="58">
        <v>45383</v>
      </c>
      <c r="C215" s="2">
        <v>5370.52</v>
      </c>
      <c r="D215" s="11">
        <v>3926.59</v>
      </c>
      <c r="E215" s="2">
        <v>56263.44</v>
      </c>
      <c r="F215" s="11">
        <v>17337.259999999998</v>
      </c>
      <c r="H215" s="152"/>
    </row>
    <row r="216" spans="2:8" x14ac:dyDescent="0.25">
      <c r="B216" s="58">
        <v>45413</v>
      </c>
      <c r="C216" s="2">
        <v>4732.8999999999996</v>
      </c>
      <c r="D216" s="11">
        <v>3613.65</v>
      </c>
      <c r="E216" s="2">
        <v>51575.28</v>
      </c>
      <c r="F216" s="11">
        <v>15610.13</v>
      </c>
      <c r="H216" s="152"/>
    </row>
    <row r="217" spans="2:8" x14ac:dyDescent="0.25">
      <c r="B217" s="58">
        <v>45444</v>
      </c>
      <c r="C217" s="2">
        <v>5800.46</v>
      </c>
      <c r="D217" s="11">
        <v>4124.43</v>
      </c>
      <c r="E217" s="2">
        <v>42894.74</v>
      </c>
      <c r="F217" s="11">
        <v>11752.08</v>
      </c>
      <c r="H217" s="152"/>
    </row>
    <row r="218" spans="2:8" x14ac:dyDescent="0.25">
      <c r="B218" s="58">
        <v>45474</v>
      </c>
      <c r="C218" s="2">
        <v>6990.51</v>
      </c>
      <c r="D218" s="11">
        <v>4935.8900000000003</v>
      </c>
      <c r="E218" s="2">
        <v>54305.88</v>
      </c>
      <c r="F218" s="11">
        <v>15518.53</v>
      </c>
      <c r="H218" s="152"/>
    </row>
    <row r="219" spans="2:8" x14ac:dyDescent="0.25">
      <c r="B219" s="58">
        <v>45505</v>
      </c>
      <c r="C219" s="2">
        <v>5728.78</v>
      </c>
      <c r="D219" s="11">
        <v>3710.28</v>
      </c>
      <c r="E219" s="2">
        <v>50821.46</v>
      </c>
      <c r="F219" s="11">
        <v>14713.16</v>
      </c>
      <c r="H219" s="152"/>
    </row>
    <row r="220" spans="2:8" x14ac:dyDescent="0.25">
      <c r="B220" s="58">
        <v>45536</v>
      </c>
      <c r="C220" s="2">
        <v>5013.51</v>
      </c>
      <c r="D220" s="11">
        <v>3378.43</v>
      </c>
      <c r="E220" s="2">
        <v>51935.51</v>
      </c>
      <c r="F220" s="11">
        <v>14395.84</v>
      </c>
      <c r="H220" s="152"/>
    </row>
    <row r="221" spans="2:8" x14ac:dyDescent="0.25">
      <c r="B221" s="58">
        <v>45566</v>
      </c>
      <c r="C221" s="10">
        <v>3391.68</v>
      </c>
      <c r="D221" s="141">
        <v>2346.14</v>
      </c>
      <c r="E221" s="10">
        <v>44652.1</v>
      </c>
      <c r="F221" s="141">
        <v>12514.52</v>
      </c>
      <c r="H221" s="152"/>
    </row>
    <row r="222" spans="2:8" x14ac:dyDescent="0.25">
      <c r="B222" s="58">
        <v>45597</v>
      </c>
      <c r="C222" s="10">
        <v>4121.7700000000004</v>
      </c>
      <c r="D222" s="141">
        <v>2890.06</v>
      </c>
      <c r="E222" s="10">
        <v>53544.2</v>
      </c>
      <c r="F222" s="141">
        <v>15546.37</v>
      </c>
    </row>
    <row r="223" spans="2:8" x14ac:dyDescent="0.25">
      <c r="B223" s="58">
        <v>45627</v>
      </c>
      <c r="C223" s="10">
        <v>2647.28</v>
      </c>
      <c r="D223" s="141">
        <v>1901.37</v>
      </c>
      <c r="E223" s="10">
        <v>49731.26</v>
      </c>
      <c r="F223" s="141">
        <v>13808.09</v>
      </c>
    </row>
    <row r="224" spans="2:8" x14ac:dyDescent="0.25">
      <c r="B224" s="58">
        <v>45658</v>
      </c>
      <c r="C224" s="10">
        <v>3863.81</v>
      </c>
      <c r="D224" s="141">
        <v>3313.87</v>
      </c>
      <c r="E224" s="10">
        <v>53309.18</v>
      </c>
      <c r="F224" s="141">
        <v>15502.69</v>
      </c>
    </row>
    <row r="225" spans="2:6" x14ac:dyDescent="0.25">
      <c r="B225" s="58">
        <v>45689</v>
      </c>
      <c r="C225" s="10">
        <v>6093.56</v>
      </c>
      <c r="D225" s="141">
        <v>5454.98</v>
      </c>
      <c r="E225" s="10">
        <v>53216.12</v>
      </c>
      <c r="F225" s="141">
        <v>15635.91</v>
      </c>
    </row>
    <row r="226" spans="2:6" x14ac:dyDescent="0.25">
      <c r="B226" s="58">
        <v>45717</v>
      </c>
      <c r="C226" s="10">
        <v>6936.99</v>
      </c>
      <c r="D226" s="141">
        <v>6895.25</v>
      </c>
      <c r="E226" s="10">
        <v>50989.32</v>
      </c>
      <c r="F226" s="141">
        <v>14940.7</v>
      </c>
    </row>
    <row r="227" spans="2:6" x14ac:dyDescent="0.25">
      <c r="B227" s="58">
        <v>45748</v>
      </c>
      <c r="C227" s="10">
        <v>7950.86</v>
      </c>
      <c r="D227" s="141">
        <v>7819.96</v>
      </c>
      <c r="E227" s="10">
        <v>54874.35</v>
      </c>
      <c r="F227" s="141">
        <v>16059.59</v>
      </c>
    </row>
    <row r="228" spans="2:6" x14ac:dyDescent="0.25">
      <c r="B228" s="58">
        <v>45778</v>
      </c>
      <c r="C228" s="10">
        <v>7445.36</v>
      </c>
      <c r="D228" s="141">
        <v>7352.13</v>
      </c>
      <c r="E228" s="10">
        <v>55714.35</v>
      </c>
      <c r="F228" s="141">
        <v>15353.35</v>
      </c>
    </row>
    <row r="229" spans="2:6" x14ac:dyDescent="0.25">
      <c r="B229" s="58">
        <v>45809</v>
      </c>
      <c r="C229" s="10">
        <v>4645.58</v>
      </c>
      <c r="D229" s="141">
        <v>4542.46</v>
      </c>
      <c r="E229" s="10">
        <v>46933.05</v>
      </c>
      <c r="F229" s="141">
        <v>12628.01</v>
      </c>
    </row>
    <row r="230" spans="2:6" x14ac:dyDescent="0.25">
      <c r="B230" s="58">
        <v>45839</v>
      </c>
      <c r="C230" s="10">
        <v>2544.37</v>
      </c>
      <c r="D230" s="141">
        <v>2533.37</v>
      </c>
      <c r="E230" s="10">
        <v>58644.639999999999</v>
      </c>
      <c r="F230" s="141">
        <v>15628.91</v>
      </c>
    </row>
    <row r="231" spans="2:6" x14ac:dyDescent="0.25">
      <c r="B231" s="58">
        <v>45870</v>
      </c>
      <c r="C231" s="10">
        <v>2501.73</v>
      </c>
      <c r="D231" s="141">
        <v>2348.5700000000002</v>
      </c>
      <c r="E231" s="10">
        <v>53623.55</v>
      </c>
      <c r="F231" s="141">
        <v>14648.29</v>
      </c>
    </row>
    <row r="232" spans="2:6" x14ac:dyDescent="0.25">
      <c r="B232" s="58">
        <v>45901</v>
      </c>
      <c r="C232" s="10">
        <v>3266.62</v>
      </c>
      <c r="D232" s="141">
        <v>3097.15</v>
      </c>
      <c r="E232" s="10">
        <v>52191.99</v>
      </c>
      <c r="F232" s="141">
        <v>14545.41</v>
      </c>
    </row>
    <row r="233" spans="2:6" x14ac:dyDescent="0.25">
      <c r="B233" s="58">
        <v>45931</v>
      </c>
      <c r="C233" s="10">
        <v>2576.4899999999998</v>
      </c>
      <c r="D233" s="141">
        <v>2749.58</v>
      </c>
      <c r="E233" s="10">
        <v>56786.23</v>
      </c>
      <c r="F233" s="141">
        <v>16519.759999999998</v>
      </c>
    </row>
    <row r="234" spans="2:6" x14ac:dyDescent="0.25">
      <c r="B234" s="58">
        <v>45962</v>
      </c>
      <c r="C234" s="10">
        <v>2625.25</v>
      </c>
      <c r="D234" s="141">
        <v>2892.51</v>
      </c>
      <c r="E234" s="10">
        <v>52465.81</v>
      </c>
      <c r="F234" s="141">
        <v>15875.41</v>
      </c>
    </row>
    <row r="235" spans="2:6" x14ac:dyDescent="0.25">
      <c r="B235" s="58">
        <v>45992</v>
      </c>
      <c r="C235" s="10">
        <v>2878.98</v>
      </c>
      <c r="D235" s="141">
        <v>3055.8</v>
      </c>
      <c r="E235" s="10">
        <v>64048.84</v>
      </c>
      <c r="F235" s="141">
        <v>19575</v>
      </c>
    </row>
    <row r="236" spans="2:6" x14ac:dyDescent="0.25">
      <c r="B236" s="58"/>
      <c r="C236" s="10"/>
      <c r="D236" s="141"/>
      <c r="E236" s="10"/>
      <c r="F236" s="141"/>
    </row>
    <row r="237" spans="2:6" x14ac:dyDescent="0.25">
      <c r="B237" s="58"/>
      <c r="C237" s="10"/>
      <c r="D237" s="141"/>
      <c r="E237" s="10"/>
      <c r="F237" s="141"/>
    </row>
    <row r="238" spans="2:6" x14ac:dyDescent="0.25">
      <c r="B238" s="58"/>
      <c r="C238" s="10"/>
      <c r="D238" s="141"/>
      <c r="E238" s="10"/>
      <c r="F238" s="141"/>
    </row>
    <row r="239" spans="2:6" x14ac:dyDescent="0.25">
      <c r="B239" s="58"/>
      <c r="C239" s="10"/>
      <c r="D239" s="141"/>
      <c r="E239" s="10"/>
      <c r="F239" s="141"/>
    </row>
    <row r="240" spans="2:6" x14ac:dyDescent="0.25">
      <c r="B240" s="58"/>
      <c r="C240" s="10"/>
      <c r="D240" s="141"/>
      <c r="E240" s="10"/>
      <c r="F240" s="141"/>
    </row>
    <row r="241" spans="2:6" x14ac:dyDescent="0.25">
      <c r="B241" s="58"/>
      <c r="C241" s="10"/>
      <c r="D241" s="141"/>
      <c r="E241" s="10"/>
      <c r="F241" s="141"/>
    </row>
    <row r="242" spans="2:6" x14ac:dyDescent="0.25">
      <c r="B242" s="58"/>
      <c r="C242" s="10"/>
      <c r="D242" s="141"/>
      <c r="E242" s="10"/>
      <c r="F242" s="141"/>
    </row>
    <row r="243" spans="2:6" x14ac:dyDescent="0.25">
      <c r="B243" s="58"/>
      <c r="C243" s="10"/>
      <c r="D243" s="141"/>
      <c r="E243" s="10"/>
      <c r="F243" s="141"/>
    </row>
    <row r="244" spans="2:6" x14ac:dyDescent="0.25">
      <c r="B244" s="58"/>
      <c r="C244" s="10"/>
      <c r="D244" s="141"/>
      <c r="E244" s="10"/>
      <c r="F244" s="141"/>
    </row>
    <row r="245" spans="2:6" x14ac:dyDescent="0.25">
      <c r="B245" s="58"/>
      <c r="C245" s="10"/>
      <c r="D245" s="141"/>
      <c r="E245" s="10"/>
      <c r="F245" s="141"/>
    </row>
    <row r="246" spans="2:6" x14ac:dyDescent="0.25">
      <c r="B246" s="58"/>
      <c r="C246" s="10"/>
      <c r="D246" s="141"/>
      <c r="E246" s="10"/>
      <c r="F246" s="141"/>
    </row>
    <row r="247" spans="2:6" x14ac:dyDescent="0.25">
      <c r="B247" s="58"/>
      <c r="C247" s="10"/>
      <c r="D247" s="141"/>
      <c r="E247" s="10"/>
      <c r="F247" s="141"/>
    </row>
    <row r="248" spans="2:6" x14ac:dyDescent="0.25">
      <c r="B248" s="58"/>
      <c r="C248" s="10"/>
      <c r="D248" s="141"/>
      <c r="E248" s="10"/>
      <c r="F248" s="141"/>
    </row>
    <row r="249" spans="2:6" x14ac:dyDescent="0.25">
      <c r="B249" s="58"/>
      <c r="C249" s="10"/>
      <c r="D249" s="141"/>
      <c r="E249" s="10"/>
      <c r="F249" s="141"/>
    </row>
    <row r="250" spans="2:6" x14ac:dyDescent="0.25">
      <c r="B250" s="58"/>
      <c r="C250" s="10"/>
      <c r="D250" s="141"/>
      <c r="E250" s="10"/>
      <c r="F250" s="141"/>
    </row>
    <row r="251" spans="2:6" x14ac:dyDescent="0.25">
      <c r="B251" s="58"/>
      <c r="C251" s="10"/>
      <c r="D251" s="141"/>
      <c r="E251" s="10"/>
      <c r="F251" s="141"/>
    </row>
    <row r="252" spans="2:6" x14ac:dyDescent="0.25">
      <c r="B252" s="58"/>
      <c r="C252" s="10"/>
      <c r="D252" s="141"/>
      <c r="E252" s="10"/>
      <c r="F252" s="141"/>
    </row>
    <row r="253" spans="2:6" x14ac:dyDescent="0.25">
      <c r="B253" s="58"/>
      <c r="C253" s="10"/>
      <c r="D253" s="141"/>
      <c r="E253" s="10"/>
      <c r="F253" s="141"/>
    </row>
    <row r="254" spans="2:6" x14ac:dyDescent="0.25">
      <c r="B254" s="58"/>
      <c r="C254" s="10"/>
      <c r="D254" s="141"/>
      <c r="E254" s="10"/>
      <c r="F254" s="141"/>
    </row>
    <row r="255" spans="2:6" x14ac:dyDescent="0.25">
      <c r="B255" s="58"/>
      <c r="C255" s="10"/>
      <c r="D255" s="141"/>
      <c r="E255" s="10"/>
      <c r="F255" s="141"/>
    </row>
    <row r="256" spans="2:6" x14ac:dyDescent="0.25">
      <c r="B256" s="58"/>
      <c r="C256" s="10"/>
      <c r="D256" s="141"/>
      <c r="E256" s="10"/>
      <c r="F256" s="141"/>
    </row>
    <row r="257" spans="2:6" x14ac:dyDescent="0.25">
      <c r="B257" s="58"/>
      <c r="C257" s="10"/>
      <c r="D257" s="141"/>
      <c r="E257" s="10"/>
      <c r="F257" s="141"/>
    </row>
    <row r="258" spans="2:6" x14ac:dyDescent="0.25">
      <c r="B258" s="58"/>
      <c r="C258" s="10"/>
      <c r="D258" s="141"/>
      <c r="E258" s="10"/>
      <c r="F258" s="141"/>
    </row>
    <row r="259" spans="2:6" x14ac:dyDescent="0.25">
      <c r="B259" s="58"/>
      <c r="C259" s="10"/>
      <c r="D259" s="141"/>
      <c r="E259" s="10"/>
      <c r="F259" s="141"/>
    </row>
    <row r="260" spans="2:6" x14ac:dyDescent="0.25">
      <c r="B260" s="58"/>
      <c r="C260" s="10"/>
      <c r="D260" s="141"/>
      <c r="E260" s="10"/>
      <c r="F260" s="141"/>
    </row>
    <row r="261" spans="2:6" x14ac:dyDescent="0.25">
      <c r="B261" s="58"/>
      <c r="C261" s="10"/>
      <c r="D261" s="141"/>
      <c r="E261" s="10"/>
      <c r="F261" s="141"/>
    </row>
    <row r="262" spans="2:6" x14ac:dyDescent="0.25">
      <c r="B262" s="58"/>
      <c r="C262" s="10"/>
      <c r="D262" s="141"/>
      <c r="E262" s="10"/>
      <c r="F262" s="141"/>
    </row>
    <row r="263" spans="2:6" x14ac:dyDescent="0.25">
      <c r="B263" s="58"/>
      <c r="C263" s="10"/>
      <c r="D263" s="141"/>
      <c r="E263" s="10"/>
      <c r="F263" s="141"/>
    </row>
    <row r="264" spans="2:6" x14ac:dyDescent="0.25">
      <c r="B264" s="58"/>
      <c r="C264" s="10"/>
      <c r="D264" s="141"/>
      <c r="E264" s="10"/>
      <c r="F264" s="141"/>
    </row>
    <row r="265" spans="2:6" x14ac:dyDescent="0.25">
      <c r="B265" s="58"/>
      <c r="C265" s="10"/>
      <c r="D265" s="141"/>
      <c r="E265" s="10"/>
      <c r="F265" s="141"/>
    </row>
    <row r="266" spans="2:6" x14ac:dyDescent="0.25">
      <c r="B266" s="58"/>
      <c r="C266" s="10"/>
      <c r="D266" s="141"/>
      <c r="E266" s="10"/>
      <c r="F266" s="141"/>
    </row>
    <row r="267" spans="2:6" x14ac:dyDescent="0.25">
      <c r="B267" s="58"/>
      <c r="C267" s="10"/>
      <c r="D267" s="141"/>
      <c r="E267" s="10"/>
      <c r="F267" s="141"/>
    </row>
    <row r="268" spans="2:6" x14ac:dyDescent="0.25">
      <c r="B268" s="58"/>
      <c r="C268" s="10"/>
      <c r="D268" s="141"/>
      <c r="E268" s="10"/>
      <c r="F268" s="141"/>
    </row>
  </sheetData>
  <mergeCells count="3">
    <mergeCell ref="G3:H3"/>
    <mergeCell ref="C3:D3"/>
    <mergeCell ref="E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4F19-09A9-414C-9FC3-33438B8ACE97}">
  <dimension ref="B3:P237"/>
  <sheetViews>
    <sheetView workbookViewId="0">
      <pane ySplit="3" topLeftCell="A220" activePane="bottomLeft" state="frozen"/>
      <selection pane="bottomLeft" activeCell="B222" sqref="B222:B233"/>
    </sheetView>
  </sheetViews>
  <sheetFormatPr defaultColWidth="9.26953125" defaultRowHeight="14.5" x14ac:dyDescent="0.35"/>
  <cols>
    <col min="2" max="2" width="9.36328125" bestFit="1" customWidth="1"/>
    <col min="3" max="3" width="13" bestFit="1" customWidth="1"/>
    <col min="4" max="6" width="14" bestFit="1" customWidth="1"/>
    <col min="7" max="7" width="15.08984375" bestFit="1" customWidth="1"/>
    <col min="8" max="8" width="14" bestFit="1" customWidth="1"/>
  </cols>
  <sheetData>
    <row r="3" spans="2:8" ht="23" x14ac:dyDescent="0.35">
      <c r="B3" s="29"/>
      <c r="C3" s="98" t="s">
        <v>139</v>
      </c>
      <c r="D3" s="99" t="s">
        <v>49</v>
      </c>
      <c r="E3" s="100" t="s">
        <v>50</v>
      </c>
      <c r="F3" s="100" t="s">
        <v>51</v>
      </c>
      <c r="G3" s="101" t="s">
        <v>140</v>
      </c>
      <c r="H3" s="102" t="s">
        <v>141</v>
      </c>
    </row>
    <row r="4" spans="2:8" x14ac:dyDescent="0.35">
      <c r="B4" s="33">
        <v>39022</v>
      </c>
      <c r="C4" s="95">
        <v>21672.63</v>
      </c>
      <c r="D4" s="63">
        <v>1179.73</v>
      </c>
      <c r="E4" s="63">
        <v>22852.36</v>
      </c>
      <c r="F4" s="63">
        <v>49152.49</v>
      </c>
      <c r="G4" s="63">
        <v>72004.850000000006</v>
      </c>
      <c r="H4" s="71">
        <v>45688.07</v>
      </c>
    </row>
    <row r="5" spans="2:8" x14ac:dyDescent="0.35">
      <c r="B5" s="33">
        <v>39052</v>
      </c>
      <c r="C5" s="95">
        <v>18657.759999999998</v>
      </c>
      <c r="D5" s="9">
        <v>968.23</v>
      </c>
      <c r="E5" s="63">
        <v>19625.990000000002</v>
      </c>
      <c r="F5" s="63">
        <v>45014</v>
      </c>
      <c r="G5" s="63">
        <v>64639.98</v>
      </c>
      <c r="H5" s="71">
        <v>46244.53</v>
      </c>
    </row>
    <row r="6" spans="2:8" x14ac:dyDescent="0.35">
      <c r="B6" s="33">
        <v>39083</v>
      </c>
      <c r="C6" s="95">
        <v>20100.53</v>
      </c>
      <c r="D6" s="9">
        <v>777.16</v>
      </c>
      <c r="E6" s="63">
        <v>20877.68</v>
      </c>
      <c r="F6" s="63">
        <v>48294.19</v>
      </c>
      <c r="G6" s="63">
        <v>69171.87</v>
      </c>
      <c r="H6" s="71">
        <v>46845.8</v>
      </c>
    </row>
    <row r="7" spans="2:8" x14ac:dyDescent="0.35">
      <c r="B7" s="33">
        <v>39114</v>
      </c>
      <c r="C7" s="95">
        <v>21875.200000000001</v>
      </c>
      <c r="D7" s="63">
        <v>2341.4699999999998</v>
      </c>
      <c r="E7" s="63">
        <v>24216.67</v>
      </c>
      <c r="F7" s="63">
        <v>56917.279999999999</v>
      </c>
      <c r="G7" s="63">
        <v>81133.95</v>
      </c>
      <c r="H7" s="71">
        <v>55062.89</v>
      </c>
    </row>
    <row r="8" spans="2:8" x14ac:dyDescent="0.35">
      <c r="B8" s="33">
        <v>39142</v>
      </c>
      <c r="C8" s="95">
        <v>22600.52</v>
      </c>
      <c r="D8" s="9">
        <v>912.1</v>
      </c>
      <c r="E8" s="63">
        <v>23512.62</v>
      </c>
      <c r="F8" s="63">
        <v>45827.13</v>
      </c>
      <c r="G8" s="63">
        <v>69339.75</v>
      </c>
      <c r="H8" s="71">
        <v>46580.69</v>
      </c>
    </row>
    <row r="9" spans="2:8" x14ac:dyDescent="0.35">
      <c r="B9" s="33">
        <v>39173</v>
      </c>
      <c r="C9" s="95">
        <v>19662.099999999999</v>
      </c>
      <c r="D9" s="9">
        <v>804.64</v>
      </c>
      <c r="E9" s="63">
        <v>20466.740000000002</v>
      </c>
      <c r="F9" s="63">
        <v>43589.49</v>
      </c>
      <c r="G9" s="63">
        <v>64056.23</v>
      </c>
      <c r="H9" s="71">
        <v>46603.64</v>
      </c>
    </row>
    <row r="10" spans="2:8" x14ac:dyDescent="0.35">
      <c r="B10" s="33">
        <v>39203</v>
      </c>
      <c r="C10" s="95">
        <v>24009.95</v>
      </c>
      <c r="D10" s="63">
        <v>1034.52</v>
      </c>
      <c r="E10" s="63">
        <v>25044.47</v>
      </c>
      <c r="F10" s="63">
        <v>51498.55</v>
      </c>
      <c r="G10" s="63">
        <v>76543.02</v>
      </c>
      <c r="H10" s="71">
        <v>46853.440000000002</v>
      </c>
    </row>
    <row r="11" spans="2:8" x14ac:dyDescent="0.35">
      <c r="B11" s="33">
        <v>39234</v>
      </c>
      <c r="C11" s="95">
        <v>22071.82</v>
      </c>
      <c r="D11" s="9">
        <v>742.21</v>
      </c>
      <c r="E11" s="63">
        <v>22814.03</v>
      </c>
      <c r="F11" s="63">
        <v>50201.13</v>
      </c>
      <c r="G11" s="63">
        <v>73015.16</v>
      </c>
      <c r="H11" s="71">
        <v>48928.45</v>
      </c>
    </row>
    <row r="12" spans="2:8" x14ac:dyDescent="0.35">
      <c r="B12" s="33">
        <v>39264</v>
      </c>
      <c r="C12" s="95">
        <v>22673.25</v>
      </c>
      <c r="D12" s="63">
        <v>1011.29</v>
      </c>
      <c r="E12" s="63">
        <v>23684.54</v>
      </c>
      <c r="F12" s="63">
        <v>53190.58</v>
      </c>
      <c r="G12" s="63">
        <v>76875.12</v>
      </c>
      <c r="H12" s="71">
        <v>52793.97</v>
      </c>
    </row>
    <row r="13" spans="2:8" x14ac:dyDescent="0.35">
      <c r="B13" s="33">
        <v>39295</v>
      </c>
      <c r="C13" s="95">
        <v>22940.52</v>
      </c>
      <c r="D13" s="9">
        <v>950.11</v>
      </c>
      <c r="E13" s="63">
        <v>23890.63</v>
      </c>
      <c r="F13" s="63">
        <v>52604.06</v>
      </c>
      <c r="G13" s="63">
        <v>76494.69</v>
      </c>
      <c r="H13" s="71">
        <v>52283.38</v>
      </c>
    </row>
    <row r="14" spans="2:8" x14ac:dyDescent="0.35">
      <c r="B14" s="33">
        <v>39326</v>
      </c>
      <c r="C14" s="95">
        <v>20258.79</v>
      </c>
      <c r="D14" s="63">
        <v>1005.65</v>
      </c>
      <c r="E14" s="63">
        <v>21264.45</v>
      </c>
      <c r="F14" s="63">
        <v>48460.160000000003</v>
      </c>
      <c r="G14" s="63">
        <v>69724.61</v>
      </c>
      <c r="H14" s="71">
        <v>48601.46</v>
      </c>
    </row>
    <row r="15" spans="2:8" x14ac:dyDescent="0.35">
      <c r="B15" s="33">
        <v>39356</v>
      </c>
      <c r="C15" s="95">
        <v>23516.06</v>
      </c>
      <c r="D15" s="63">
        <v>1168.19</v>
      </c>
      <c r="E15" s="63">
        <v>24684.25</v>
      </c>
      <c r="F15" s="63">
        <v>59049.87</v>
      </c>
      <c r="G15" s="63">
        <v>83734.12</v>
      </c>
      <c r="H15" s="71">
        <v>55189.14</v>
      </c>
    </row>
    <row r="16" spans="2:8" x14ac:dyDescent="0.35">
      <c r="B16" s="33">
        <v>39387</v>
      </c>
      <c r="C16" s="95">
        <v>24970.240000000002</v>
      </c>
      <c r="D16" s="63">
        <v>1103.51</v>
      </c>
      <c r="E16" s="63">
        <v>26073.75</v>
      </c>
      <c r="F16" s="63">
        <v>57731.91</v>
      </c>
      <c r="G16" s="63">
        <v>83805.649999999994</v>
      </c>
      <c r="H16" s="71">
        <v>53993.58</v>
      </c>
    </row>
    <row r="17" spans="2:8" x14ac:dyDescent="0.35">
      <c r="B17" s="33">
        <v>39417</v>
      </c>
      <c r="C17" s="95">
        <v>16940.05</v>
      </c>
      <c r="D17" s="63">
        <v>1125.93</v>
      </c>
      <c r="E17" s="63">
        <v>18065.98</v>
      </c>
      <c r="F17" s="63">
        <v>37757.370000000003</v>
      </c>
      <c r="G17" s="63">
        <v>55823.34</v>
      </c>
      <c r="H17" s="71">
        <v>41857.300000000003</v>
      </c>
    </row>
    <row r="18" spans="2:8" x14ac:dyDescent="0.35">
      <c r="B18" s="33">
        <v>39448</v>
      </c>
      <c r="C18" s="95">
        <v>22767.81</v>
      </c>
      <c r="D18" s="9">
        <v>985.72</v>
      </c>
      <c r="E18" s="63">
        <v>23753.53</v>
      </c>
      <c r="F18" s="63">
        <v>64341.01</v>
      </c>
      <c r="G18" s="63">
        <v>88094.54</v>
      </c>
      <c r="H18" s="71">
        <v>56488.85</v>
      </c>
    </row>
    <row r="19" spans="2:8" x14ac:dyDescent="0.35">
      <c r="B19" s="33">
        <v>39479</v>
      </c>
      <c r="C19" s="95">
        <v>31277.01</v>
      </c>
      <c r="D19" s="63">
        <v>1050.1600000000001</v>
      </c>
      <c r="E19" s="63">
        <v>32327.17</v>
      </c>
      <c r="F19" s="63">
        <v>58051.43</v>
      </c>
      <c r="G19" s="63">
        <v>90378.61</v>
      </c>
      <c r="H19" s="71">
        <v>56707.94</v>
      </c>
    </row>
    <row r="20" spans="2:8" x14ac:dyDescent="0.35">
      <c r="B20" s="33">
        <v>39508</v>
      </c>
      <c r="C20" s="95">
        <v>25654.53</v>
      </c>
      <c r="D20" s="63">
        <v>1460.93</v>
      </c>
      <c r="E20" s="63">
        <v>27115.46</v>
      </c>
      <c r="F20" s="63">
        <v>53200.79</v>
      </c>
      <c r="G20" s="63">
        <v>80316.25</v>
      </c>
      <c r="H20" s="71">
        <v>52191.67</v>
      </c>
    </row>
    <row r="21" spans="2:8" x14ac:dyDescent="0.35">
      <c r="B21" s="33">
        <v>39539</v>
      </c>
      <c r="C21" s="95">
        <v>27893.33</v>
      </c>
      <c r="D21" s="63">
        <v>1292.8599999999999</v>
      </c>
      <c r="E21" s="63">
        <v>29186.19</v>
      </c>
      <c r="F21" s="63">
        <v>54785.45</v>
      </c>
      <c r="G21" s="63">
        <v>83971.64</v>
      </c>
      <c r="H21" s="71">
        <v>51389.440000000002</v>
      </c>
    </row>
    <row r="22" spans="2:8" x14ac:dyDescent="0.35">
      <c r="B22" s="33">
        <v>39569</v>
      </c>
      <c r="C22" s="95">
        <v>24436.3</v>
      </c>
      <c r="D22" s="63">
        <v>1303.31</v>
      </c>
      <c r="E22" s="63">
        <v>25739.61</v>
      </c>
      <c r="F22" s="63">
        <v>56877.43</v>
      </c>
      <c r="G22" s="63">
        <v>82617.03</v>
      </c>
      <c r="H22" s="71">
        <v>57151.43</v>
      </c>
    </row>
    <row r="23" spans="2:8" x14ac:dyDescent="0.35">
      <c r="B23" s="33">
        <v>39600</v>
      </c>
      <c r="C23" s="95">
        <v>23832.87</v>
      </c>
      <c r="D23" s="63">
        <v>1477.07</v>
      </c>
      <c r="E23" s="63">
        <v>25309.94</v>
      </c>
      <c r="F23" s="63">
        <v>49957.26</v>
      </c>
      <c r="G23" s="63">
        <v>75267.199999999997</v>
      </c>
      <c r="H23" s="71">
        <v>53371.94</v>
      </c>
    </row>
    <row r="24" spans="2:8" x14ac:dyDescent="0.35">
      <c r="B24" s="33">
        <v>39630</v>
      </c>
      <c r="C24" s="95">
        <v>28667.31</v>
      </c>
      <c r="D24" s="63">
        <v>1671.58</v>
      </c>
      <c r="E24" s="63">
        <v>30338.89</v>
      </c>
      <c r="F24" s="63">
        <v>70300.09</v>
      </c>
      <c r="G24" s="63">
        <v>100638.98</v>
      </c>
      <c r="H24" s="71">
        <v>60557.64</v>
      </c>
    </row>
    <row r="25" spans="2:8" x14ac:dyDescent="0.35">
      <c r="B25" s="33">
        <v>39661</v>
      </c>
      <c r="C25" s="95">
        <v>27487.9</v>
      </c>
      <c r="D25" s="63">
        <v>2265.5300000000002</v>
      </c>
      <c r="E25" s="63">
        <v>29753.42</v>
      </c>
      <c r="F25" s="63">
        <v>72644.67</v>
      </c>
      <c r="G25" s="63">
        <v>102398.09</v>
      </c>
      <c r="H25" s="71">
        <v>72423.12</v>
      </c>
    </row>
    <row r="26" spans="2:8" x14ac:dyDescent="0.35">
      <c r="B26" s="33">
        <v>39692</v>
      </c>
      <c r="C26" s="95">
        <v>26618.400000000001</v>
      </c>
      <c r="D26" s="63">
        <v>1869.18</v>
      </c>
      <c r="E26" s="63">
        <v>28487.58</v>
      </c>
      <c r="F26" s="63">
        <v>74773.03</v>
      </c>
      <c r="G26" s="63">
        <v>103260.61</v>
      </c>
      <c r="H26" s="71">
        <v>67656.83</v>
      </c>
    </row>
    <row r="27" spans="2:8" x14ac:dyDescent="0.35">
      <c r="B27" s="33">
        <v>39722</v>
      </c>
      <c r="C27" s="95">
        <v>29556.05</v>
      </c>
      <c r="D27" s="63">
        <v>2984.15</v>
      </c>
      <c r="E27" s="63">
        <v>32540.2</v>
      </c>
      <c r="F27" s="63">
        <v>74855.83</v>
      </c>
      <c r="G27" s="63">
        <v>107396.03</v>
      </c>
      <c r="H27" s="71">
        <v>75450.09</v>
      </c>
    </row>
    <row r="28" spans="2:8" x14ac:dyDescent="0.35">
      <c r="B28" s="33">
        <v>39753</v>
      </c>
      <c r="C28" s="95">
        <v>27434.29</v>
      </c>
      <c r="D28" s="63">
        <v>1624.36</v>
      </c>
      <c r="E28" s="63">
        <v>29058.65</v>
      </c>
      <c r="F28" s="63">
        <v>68387.899999999994</v>
      </c>
      <c r="G28" s="63">
        <v>97446.55</v>
      </c>
      <c r="H28" s="71">
        <v>66706.100000000006</v>
      </c>
    </row>
    <row r="29" spans="2:8" x14ac:dyDescent="0.35">
      <c r="B29" s="33">
        <v>39783</v>
      </c>
      <c r="C29" s="95">
        <v>27405.439999999999</v>
      </c>
      <c r="D29" s="63">
        <v>1938.39</v>
      </c>
      <c r="E29" s="63">
        <v>29343.83</v>
      </c>
      <c r="F29" s="63">
        <v>68567.89</v>
      </c>
      <c r="G29" s="63">
        <v>97911.72</v>
      </c>
      <c r="H29" s="71">
        <v>67312.92</v>
      </c>
    </row>
    <row r="30" spans="2:8" x14ac:dyDescent="0.35">
      <c r="B30" s="33">
        <v>39814</v>
      </c>
      <c r="C30" s="95">
        <v>26120.79</v>
      </c>
      <c r="D30" s="63">
        <v>1238.96</v>
      </c>
      <c r="E30" s="63">
        <v>27359.75</v>
      </c>
      <c r="F30" s="63">
        <v>66177.179999999993</v>
      </c>
      <c r="G30" s="63">
        <v>93536.93</v>
      </c>
      <c r="H30" s="71">
        <v>2707.33</v>
      </c>
    </row>
    <row r="31" spans="2:8" x14ac:dyDescent="0.35">
      <c r="B31" s="33">
        <v>39845</v>
      </c>
      <c r="C31" s="95">
        <v>27362.15</v>
      </c>
      <c r="D31" s="63">
        <v>1314.05</v>
      </c>
      <c r="E31" s="63">
        <v>28676.2</v>
      </c>
      <c r="F31" s="63">
        <v>60563.13</v>
      </c>
      <c r="G31" s="63">
        <v>89239.33</v>
      </c>
      <c r="H31" s="71">
        <v>60327.13</v>
      </c>
    </row>
    <row r="32" spans="2:8" x14ac:dyDescent="0.35">
      <c r="B32" s="33">
        <v>39873</v>
      </c>
      <c r="C32" s="95">
        <v>29123.55</v>
      </c>
      <c r="D32" s="63">
        <v>2346.16</v>
      </c>
      <c r="E32" s="63">
        <v>31469.71</v>
      </c>
      <c r="F32" s="63">
        <v>61296.800000000003</v>
      </c>
      <c r="G32" s="63">
        <v>92766.51</v>
      </c>
      <c r="H32" s="71">
        <v>61697.58</v>
      </c>
    </row>
    <row r="33" spans="2:8" x14ac:dyDescent="0.35">
      <c r="B33" s="33">
        <v>39904</v>
      </c>
      <c r="C33" s="95">
        <v>25206.94</v>
      </c>
      <c r="D33" s="63">
        <v>1141.33</v>
      </c>
      <c r="E33" s="63">
        <v>26348.27</v>
      </c>
      <c r="F33" s="63">
        <v>65799.210000000006</v>
      </c>
      <c r="G33" s="63">
        <v>92147.47</v>
      </c>
      <c r="H33" s="71">
        <v>63773.78</v>
      </c>
    </row>
    <row r="34" spans="2:8" x14ac:dyDescent="0.35">
      <c r="B34" s="33">
        <v>39934</v>
      </c>
      <c r="C34" s="95">
        <v>24525.439999999999</v>
      </c>
      <c r="D34" s="63">
        <v>1252.8399999999999</v>
      </c>
      <c r="E34" s="63">
        <v>25778.27</v>
      </c>
      <c r="F34" s="63">
        <v>58699.61</v>
      </c>
      <c r="G34" s="63">
        <v>84477.89</v>
      </c>
      <c r="H34" s="71">
        <v>58058.37</v>
      </c>
    </row>
    <row r="35" spans="2:8" x14ac:dyDescent="0.35">
      <c r="B35" s="33">
        <v>39965</v>
      </c>
      <c r="C35" s="95">
        <v>26870.74</v>
      </c>
      <c r="D35" s="63">
        <v>1295.5</v>
      </c>
      <c r="E35" s="63">
        <v>28166.23</v>
      </c>
      <c r="F35" s="63">
        <v>62910.79</v>
      </c>
      <c r="G35" s="63">
        <v>91077.02</v>
      </c>
      <c r="H35" s="71">
        <v>56936.72</v>
      </c>
    </row>
    <row r="36" spans="2:8" x14ac:dyDescent="0.35">
      <c r="B36" s="33">
        <v>39995</v>
      </c>
      <c r="C36" s="95">
        <v>28362.04</v>
      </c>
      <c r="D36" s="63">
        <v>3171.01</v>
      </c>
      <c r="E36" s="63">
        <v>31533.06</v>
      </c>
      <c r="F36" s="63">
        <v>63738.1</v>
      </c>
      <c r="G36" s="63">
        <v>95271.15</v>
      </c>
      <c r="H36" s="71">
        <v>66681.97</v>
      </c>
    </row>
    <row r="37" spans="2:8" x14ac:dyDescent="0.35">
      <c r="B37" s="33">
        <v>40026</v>
      </c>
      <c r="C37" s="95">
        <v>24653.78</v>
      </c>
      <c r="D37" s="63">
        <v>3392.62</v>
      </c>
      <c r="E37" s="63">
        <v>28046.400000000001</v>
      </c>
      <c r="F37" s="63">
        <v>59768.18</v>
      </c>
      <c r="G37" s="63">
        <v>87814.58</v>
      </c>
      <c r="H37" s="71">
        <v>58290.8</v>
      </c>
    </row>
    <row r="38" spans="2:8" x14ac:dyDescent="0.35">
      <c r="B38" s="33">
        <v>40057</v>
      </c>
      <c r="C38" s="95">
        <v>27836.97</v>
      </c>
      <c r="D38" s="63">
        <v>1239.83</v>
      </c>
      <c r="E38" s="63">
        <v>29076.799999999999</v>
      </c>
      <c r="F38" s="63">
        <v>69361.440000000002</v>
      </c>
      <c r="G38" s="63">
        <v>98438.24</v>
      </c>
      <c r="H38" s="71">
        <v>66736.87</v>
      </c>
    </row>
    <row r="39" spans="2:8" x14ac:dyDescent="0.35">
      <c r="B39" s="33">
        <v>40087</v>
      </c>
      <c r="C39" s="95">
        <v>23516.06</v>
      </c>
      <c r="D39" s="63">
        <v>1168.19</v>
      </c>
      <c r="E39" s="63">
        <v>24684.25</v>
      </c>
      <c r="F39" s="63">
        <v>59049.87</v>
      </c>
      <c r="G39" s="63">
        <v>83734.12</v>
      </c>
      <c r="H39" s="71">
        <v>55189.14</v>
      </c>
    </row>
    <row r="40" spans="2:8" x14ac:dyDescent="0.35">
      <c r="B40" s="33">
        <v>40118</v>
      </c>
      <c r="C40" s="96">
        <v>27789.32</v>
      </c>
      <c r="D40" s="63">
        <v>2089.4299999999998</v>
      </c>
      <c r="E40" s="63">
        <v>29878.75</v>
      </c>
      <c r="F40" s="63">
        <v>69148.320000000007</v>
      </c>
      <c r="G40" s="63">
        <v>99027.08</v>
      </c>
      <c r="H40" s="71">
        <v>68336.3</v>
      </c>
    </row>
    <row r="41" spans="2:8" x14ac:dyDescent="0.35">
      <c r="B41" s="33">
        <v>40148</v>
      </c>
      <c r="C41" s="96">
        <v>29232.19</v>
      </c>
      <c r="D41" s="63">
        <v>1038.75</v>
      </c>
      <c r="E41" s="63">
        <v>30270.94</v>
      </c>
      <c r="F41" s="63">
        <v>78274.61</v>
      </c>
      <c r="G41" s="63">
        <v>108545.55</v>
      </c>
      <c r="H41" s="35"/>
    </row>
    <row r="42" spans="2:8" x14ac:dyDescent="0.35">
      <c r="B42" s="33">
        <v>40179</v>
      </c>
      <c r="C42" s="96">
        <v>28314.12</v>
      </c>
      <c r="D42" s="63">
        <v>2288.46</v>
      </c>
      <c r="E42" s="63">
        <v>30602.58</v>
      </c>
      <c r="F42" s="63">
        <v>71198.89</v>
      </c>
      <c r="G42" s="63">
        <v>101801.47</v>
      </c>
      <c r="H42" s="71">
        <v>70497.09</v>
      </c>
    </row>
    <row r="43" spans="2:8" x14ac:dyDescent="0.35">
      <c r="B43" s="33">
        <v>40210</v>
      </c>
      <c r="C43" s="96">
        <v>31171.29</v>
      </c>
      <c r="D43" s="63">
        <v>2183.5500000000002</v>
      </c>
      <c r="E43" s="63">
        <v>33354.839999999997</v>
      </c>
      <c r="F43" s="63">
        <v>60327.58</v>
      </c>
      <c r="G43" s="63">
        <v>93682.42</v>
      </c>
      <c r="H43" s="71">
        <v>60717.77</v>
      </c>
    </row>
    <row r="44" spans="2:8" x14ac:dyDescent="0.35">
      <c r="B44" s="33">
        <v>40238</v>
      </c>
      <c r="C44" s="96">
        <v>33175.5</v>
      </c>
      <c r="D44" s="63">
        <v>1568.42</v>
      </c>
      <c r="E44" s="63">
        <v>34743.93</v>
      </c>
      <c r="F44" s="63">
        <v>75233.429999999993</v>
      </c>
      <c r="G44" s="63">
        <v>109977.35</v>
      </c>
      <c r="H44" s="71">
        <v>69663.210000000006</v>
      </c>
    </row>
    <row r="45" spans="2:8" x14ac:dyDescent="0.35">
      <c r="B45" s="33">
        <v>40269</v>
      </c>
      <c r="C45" s="96">
        <v>28701.64</v>
      </c>
      <c r="D45" s="63">
        <v>2567.61</v>
      </c>
      <c r="E45" s="63">
        <v>31269.25</v>
      </c>
      <c r="F45" s="63">
        <v>72107.34</v>
      </c>
      <c r="G45" s="63">
        <v>103376.59</v>
      </c>
      <c r="H45" s="71">
        <v>69501.350000000006</v>
      </c>
    </row>
    <row r="46" spans="2:8" x14ac:dyDescent="0.35">
      <c r="B46" s="33">
        <v>40299</v>
      </c>
      <c r="C46" s="96">
        <v>31328.55</v>
      </c>
      <c r="D46" s="63">
        <v>1913.15</v>
      </c>
      <c r="E46" s="63">
        <v>33241.699999999997</v>
      </c>
      <c r="F46" s="63">
        <v>80316.75</v>
      </c>
      <c r="G46" s="63">
        <v>113558.45</v>
      </c>
      <c r="H46" s="71">
        <v>71550.34</v>
      </c>
    </row>
    <row r="47" spans="2:8" x14ac:dyDescent="0.35">
      <c r="B47" s="33">
        <v>40330</v>
      </c>
      <c r="C47" s="96">
        <v>31756.29</v>
      </c>
      <c r="D47" s="63">
        <v>1283.2</v>
      </c>
      <c r="E47" s="63">
        <v>33039.49</v>
      </c>
      <c r="F47" s="63">
        <v>79208.22</v>
      </c>
      <c r="G47" s="63">
        <v>112247.71</v>
      </c>
      <c r="H47" s="71">
        <v>76393.100000000006</v>
      </c>
    </row>
    <row r="48" spans="2:8" x14ac:dyDescent="0.35">
      <c r="B48" s="33">
        <v>40360</v>
      </c>
      <c r="C48" s="96">
        <v>33174.79</v>
      </c>
      <c r="D48" s="63">
        <v>1660.6</v>
      </c>
      <c r="E48" s="63">
        <v>34835.39</v>
      </c>
      <c r="F48" s="63">
        <v>80566.22</v>
      </c>
      <c r="G48" s="63">
        <v>115401.61</v>
      </c>
      <c r="H48" s="71">
        <v>81750.73</v>
      </c>
    </row>
    <row r="49" spans="2:8" x14ac:dyDescent="0.35">
      <c r="B49" s="33">
        <v>40391</v>
      </c>
      <c r="C49" s="96">
        <v>28735.17</v>
      </c>
      <c r="D49" s="63">
        <v>1574.67</v>
      </c>
      <c r="E49" s="63">
        <v>30309.84</v>
      </c>
      <c r="F49" s="63">
        <v>73016.160000000003</v>
      </c>
      <c r="G49" s="63">
        <v>103326.01</v>
      </c>
      <c r="H49" s="71">
        <v>67753.210000000006</v>
      </c>
    </row>
    <row r="50" spans="2:8" x14ac:dyDescent="0.35">
      <c r="B50" s="33">
        <v>40422</v>
      </c>
      <c r="C50" s="96">
        <v>32578.09</v>
      </c>
      <c r="D50" s="63">
        <v>2465.7399999999998</v>
      </c>
      <c r="E50" s="63">
        <v>35043.83</v>
      </c>
      <c r="F50" s="63">
        <v>88640.52</v>
      </c>
      <c r="G50" s="63">
        <v>123684.35</v>
      </c>
      <c r="H50" s="71">
        <v>89209.61</v>
      </c>
    </row>
    <row r="51" spans="2:8" x14ac:dyDescent="0.35">
      <c r="B51" s="33">
        <v>40452</v>
      </c>
      <c r="C51" s="96">
        <v>29902.42</v>
      </c>
      <c r="D51" s="63">
        <v>2350</v>
      </c>
      <c r="E51" s="63">
        <v>32252.42</v>
      </c>
      <c r="F51" s="63">
        <v>82681.88</v>
      </c>
      <c r="G51" s="63">
        <v>114934.3</v>
      </c>
      <c r="H51" s="71">
        <v>79658.41</v>
      </c>
    </row>
    <row r="52" spans="2:8" x14ac:dyDescent="0.35">
      <c r="B52" s="33">
        <v>40483</v>
      </c>
      <c r="C52" s="95">
        <v>36091.879999999997</v>
      </c>
      <c r="D52" s="63">
        <v>3190.26</v>
      </c>
      <c r="E52" s="94">
        <v>39282.14</v>
      </c>
      <c r="F52" s="94">
        <v>102724.91</v>
      </c>
      <c r="G52" s="94">
        <v>142007.04999999999</v>
      </c>
      <c r="H52" s="97">
        <v>99618.23</v>
      </c>
    </row>
    <row r="53" spans="2:8" x14ac:dyDescent="0.35">
      <c r="B53" s="33">
        <v>40513</v>
      </c>
      <c r="C53" s="95">
        <v>38369.82</v>
      </c>
      <c r="D53" s="63">
        <v>1856.69</v>
      </c>
      <c r="E53" s="94">
        <v>40226.51</v>
      </c>
      <c r="F53" s="94">
        <v>93411.69</v>
      </c>
      <c r="G53" s="94">
        <v>133638.20000000001</v>
      </c>
      <c r="H53" s="97">
        <v>88640.59</v>
      </c>
    </row>
    <row r="54" spans="2:8" x14ac:dyDescent="0.35">
      <c r="B54" s="33">
        <v>40544</v>
      </c>
      <c r="C54" s="95">
        <v>33792.47</v>
      </c>
      <c r="D54" s="63">
        <v>1665.31</v>
      </c>
      <c r="E54" s="94">
        <v>35457.78</v>
      </c>
      <c r="F54" s="94">
        <v>90527.85</v>
      </c>
      <c r="G54" s="94">
        <v>125985.63</v>
      </c>
      <c r="H54" s="97">
        <v>82636.08</v>
      </c>
    </row>
    <row r="55" spans="2:8" x14ac:dyDescent="0.35">
      <c r="B55" s="33">
        <v>40575</v>
      </c>
      <c r="C55" s="95">
        <v>36560.99</v>
      </c>
      <c r="D55" s="63">
        <v>2223.41</v>
      </c>
      <c r="E55" s="94">
        <v>38784.400000000001</v>
      </c>
      <c r="F55" s="94">
        <v>85558.42</v>
      </c>
      <c r="G55" s="94">
        <v>124342.82</v>
      </c>
      <c r="H55" s="97">
        <v>79289.58</v>
      </c>
    </row>
    <row r="56" spans="2:8" x14ac:dyDescent="0.35">
      <c r="B56" s="33">
        <v>40603</v>
      </c>
      <c r="C56" s="95">
        <v>41340.639999999999</v>
      </c>
      <c r="D56" s="63">
        <v>2534.88</v>
      </c>
      <c r="E56" s="94">
        <v>43875.51</v>
      </c>
      <c r="F56" s="94">
        <v>109732.89</v>
      </c>
      <c r="G56" s="94">
        <v>153608.4</v>
      </c>
      <c r="H56" s="97">
        <v>99418.72</v>
      </c>
    </row>
    <row r="57" spans="2:8" x14ac:dyDescent="0.35">
      <c r="B57" s="33">
        <v>40634</v>
      </c>
      <c r="C57" s="95">
        <v>37536.6</v>
      </c>
      <c r="D57" s="63">
        <v>1880.6</v>
      </c>
      <c r="E57" s="94">
        <v>39417.199999999997</v>
      </c>
      <c r="F57" s="94">
        <v>86987.95</v>
      </c>
      <c r="G57" s="94">
        <v>126405.15</v>
      </c>
      <c r="H57" s="97">
        <v>81361.41</v>
      </c>
    </row>
    <row r="58" spans="2:8" x14ac:dyDescent="0.35">
      <c r="B58" s="33">
        <v>40664</v>
      </c>
      <c r="C58" s="95">
        <v>38834.83</v>
      </c>
      <c r="D58" s="63">
        <v>1939.97</v>
      </c>
      <c r="E58" s="94">
        <v>40774.79</v>
      </c>
      <c r="F58" s="94">
        <v>116829.99</v>
      </c>
      <c r="G58" s="94">
        <v>157604.78</v>
      </c>
      <c r="H58" s="97">
        <v>109217.08</v>
      </c>
    </row>
    <row r="59" spans="2:8" x14ac:dyDescent="0.35">
      <c r="B59" s="33">
        <v>40695</v>
      </c>
      <c r="C59" s="95">
        <v>41373.620000000003</v>
      </c>
      <c r="D59" s="63">
        <v>2440.64</v>
      </c>
      <c r="E59" s="94">
        <v>43814.26</v>
      </c>
      <c r="F59" s="94">
        <v>104304.8</v>
      </c>
      <c r="G59" s="94">
        <v>148119.06</v>
      </c>
      <c r="H59" s="97">
        <v>102087.69</v>
      </c>
    </row>
    <row r="60" spans="2:8" x14ac:dyDescent="0.35">
      <c r="B60" s="33">
        <v>40725</v>
      </c>
      <c r="C60" s="95">
        <v>40923.81</v>
      </c>
      <c r="D60" s="63">
        <v>3742.18</v>
      </c>
      <c r="E60" s="94">
        <v>44665.99</v>
      </c>
      <c r="F60" s="94">
        <v>102898.39</v>
      </c>
      <c r="G60" s="94">
        <v>147564.38</v>
      </c>
      <c r="H60" s="97">
        <v>103310.62</v>
      </c>
    </row>
    <row r="61" spans="2:8" x14ac:dyDescent="0.35">
      <c r="B61" s="33">
        <v>40756</v>
      </c>
      <c r="C61" s="95">
        <v>44038.41</v>
      </c>
      <c r="D61" s="63">
        <v>2232.16</v>
      </c>
      <c r="E61" s="94">
        <v>46270.57</v>
      </c>
      <c r="F61" s="94">
        <v>136122.68</v>
      </c>
      <c r="G61" s="94">
        <v>182393.25</v>
      </c>
      <c r="H61" s="97">
        <v>113301.34</v>
      </c>
    </row>
    <row r="62" spans="2:8" x14ac:dyDescent="0.35">
      <c r="B62" s="33">
        <v>40787</v>
      </c>
      <c r="C62" s="95">
        <v>43480.28</v>
      </c>
      <c r="D62" s="63">
        <v>2777.36</v>
      </c>
      <c r="E62" s="94">
        <v>46257.64</v>
      </c>
      <c r="F62" s="94">
        <v>123700.96</v>
      </c>
      <c r="G62" s="94">
        <v>169958.6</v>
      </c>
      <c r="H62" s="97">
        <v>116955.06</v>
      </c>
    </row>
    <row r="63" spans="2:8" x14ac:dyDescent="0.35">
      <c r="B63" s="33">
        <v>40817</v>
      </c>
      <c r="C63" s="95">
        <v>43246.25</v>
      </c>
      <c r="D63" s="63">
        <v>2023.02</v>
      </c>
      <c r="E63" s="94">
        <v>45269.279999999999</v>
      </c>
      <c r="F63" s="94">
        <v>115737.69</v>
      </c>
      <c r="G63" s="94">
        <v>161006.96</v>
      </c>
      <c r="H63" s="97">
        <v>113395.45</v>
      </c>
    </row>
    <row r="64" spans="2:8" x14ac:dyDescent="0.35">
      <c r="B64" s="33">
        <v>40848</v>
      </c>
      <c r="C64" s="95">
        <v>42449.61</v>
      </c>
      <c r="D64" s="63">
        <v>2079.88</v>
      </c>
      <c r="E64" s="94">
        <v>44529.49</v>
      </c>
      <c r="F64" s="94">
        <v>126316.89</v>
      </c>
      <c r="G64" s="94">
        <v>170846.38</v>
      </c>
      <c r="H64" s="97">
        <v>116783.72</v>
      </c>
    </row>
    <row r="65" spans="2:8" x14ac:dyDescent="0.35">
      <c r="B65" s="33">
        <v>40878</v>
      </c>
      <c r="C65" s="95">
        <v>39363.78</v>
      </c>
      <c r="D65" s="94">
        <v>2556.09</v>
      </c>
      <c r="E65" s="94">
        <v>41919.870000000003</v>
      </c>
      <c r="F65" s="94">
        <v>116944.43</v>
      </c>
      <c r="G65" s="94">
        <v>158864.31</v>
      </c>
      <c r="H65" s="97">
        <v>108176.32000000001</v>
      </c>
    </row>
    <row r="66" spans="2:8" x14ac:dyDescent="0.35">
      <c r="B66" s="33">
        <v>40909</v>
      </c>
      <c r="C66" s="95">
        <v>40476.21</v>
      </c>
      <c r="D66" s="94">
        <v>1888.91</v>
      </c>
      <c r="E66" s="94">
        <v>42365.120000000003</v>
      </c>
      <c r="F66" s="94">
        <v>101658.5</v>
      </c>
      <c r="G66" s="94">
        <v>144023.62</v>
      </c>
      <c r="H66" s="97">
        <v>99229.35</v>
      </c>
    </row>
    <row r="67" spans="2:8" x14ac:dyDescent="0.35">
      <c r="B67" s="33">
        <v>40940</v>
      </c>
      <c r="C67" s="95">
        <v>41744.07</v>
      </c>
      <c r="D67" s="94">
        <v>2336.4299999999998</v>
      </c>
      <c r="E67" s="94">
        <v>44080.5</v>
      </c>
      <c r="F67" s="94">
        <v>102061.54</v>
      </c>
      <c r="G67" s="94">
        <v>146142.04</v>
      </c>
      <c r="H67" s="97">
        <v>99394.75</v>
      </c>
    </row>
    <row r="68" spans="2:8" x14ac:dyDescent="0.35">
      <c r="B68" s="33">
        <v>40969</v>
      </c>
      <c r="C68" s="95">
        <v>41433.800000000003</v>
      </c>
      <c r="D68" s="94">
        <v>2928.57</v>
      </c>
      <c r="E68" s="94">
        <v>44362.36</v>
      </c>
      <c r="F68" s="94">
        <v>124621.83</v>
      </c>
      <c r="G68" s="94">
        <v>168984.2</v>
      </c>
      <c r="H68" s="97">
        <v>116698.49</v>
      </c>
    </row>
    <row r="69" spans="2:8" x14ac:dyDescent="0.35">
      <c r="B69" s="33">
        <v>41000</v>
      </c>
      <c r="C69" s="95">
        <v>35938.300000000003</v>
      </c>
      <c r="D69" s="94">
        <v>4101.3999999999996</v>
      </c>
      <c r="E69" s="94">
        <v>40039.699999999997</v>
      </c>
      <c r="F69" s="94">
        <v>102765.5</v>
      </c>
      <c r="G69" s="94">
        <v>142805.20000000001</v>
      </c>
      <c r="H69" s="97">
        <v>101580.67</v>
      </c>
    </row>
    <row r="70" spans="2:8" x14ac:dyDescent="0.35">
      <c r="B70" s="33">
        <v>41030</v>
      </c>
      <c r="C70" s="95">
        <v>39383.19</v>
      </c>
      <c r="D70" s="94">
        <v>2983.6</v>
      </c>
      <c r="E70" s="94">
        <v>42366.78</v>
      </c>
      <c r="F70" s="94">
        <v>128775.76</v>
      </c>
      <c r="G70" s="94">
        <v>171142.54</v>
      </c>
      <c r="H70" s="97">
        <v>121500.89</v>
      </c>
    </row>
    <row r="71" spans="2:8" x14ac:dyDescent="0.35">
      <c r="B71" s="33">
        <v>41061</v>
      </c>
      <c r="C71" s="95">
        <v>38825.81</v>
      </c>
      <c r="D71" s="94">
        <v>2437.81</v>
      </c>
      <c r="E71" s="94">
        <v>41263.620000000003</v>
      </c>
      <c r="F71" s="94">
        <v>112058.43</v>
      </c>
      <c r="G71" s="94">
        <v>153322.04999999999</v>
      </c>
      <c r="H71" s="97">
        <v>108121.95</v>
      </c>
    </row>
    <row r="72" spans="2:8" x14ac:dyDescent="0.35">
      <c r="B72" s="33">
        <v>41091</v>
      </c>
      <c r="C72" s="95">
        <v>40374.35</v>
      </c>
      <c r="D72" s="94">
        <v>2527.4299999999998</v>
      </c>
      <c r="E72" s="94">
        <v>42901.77</v>
      </c>
      <c r="F72" s="94">
        <v>123414.28</v>
      </c>
      <c r="G72" s="94">
        <v>166316.04999999999</v>
      </c>
      <c r="H72" s="97">
        <v>114642.25</v>
      </c>
    </row>
    <row r="73" spans="2:8" x14ac:dyDescent="0.35">
      <c r="B73" s="33">
        <v>41122</v>
      </c>
      <c r="C73" s="95">
        <v>40366.78</v>
      </c>
      <c r="D73" s="94">
        <v>3517.17</v>
      </c>
      <c r="E73" s="94">
        <v>43883.96</v>
      </c>
      <c r="F73" s="94">
        <v>116102.08</v>
      </c>
      <c r="G73" s="94">
        <v>159986.04</v>
      </c>
      <c r="H73" s="97">
        <v>115425.3</v>
      </c>
    </row>
    <row r="74" spans="2:8" x14ac:dyDescent="0.35">
      <c r="B74" s="33">
        <v>41153</v>
      </c>
      <c r="C74" s="95">
        <v>39395.65</v>
      </c>
      <c r="D74" s="94">
        <v>2430.91</v>
      </c>
      <c r="E74" s="94">
        <v>41826.559999999998</v>
      </c>
      <c r="F74" s="94">
        <v>107467.85</v>
      </c>
      <c r="G74" s="94">
        <v>149294.41</v>
      </c>
      <c r="H74" s="97">
        <v>105787.46</v>
      </c>
    </row>
    <row r="75" spans="2:8" x14ac:dyDescent="0.35">
      <c r="B75" s="33">
        <v>41183</v>
      </c>
      <c r="C75" s="95">
        <v>43339.92</v>
      </c>
      <c r="D75" s="94">
        <v>5204.12</v>
      </c>
      <c r="E75" s="94">
        <v>48544.04</v>
      </c>
      <c r="F75" s="94">
        <v>110925.04</v>
      </c>
      <c r="G75" s="94">
        <v>159469.09</v>
      </c>
      <c r="H75" s="97">
        <v>116602.8</v>
      </c>
    </row>
    <row r="76" spans="2:8" x14ac:dyDescent="0.35">
      <c r="B76" s="33">
        <v>41214</v>
      </c>
      <c r="C76" s="95">
        <v>42225.34</v>
      </c>
      <c r="D76" s="94">
        <v>3832.29</v>
      </c>
      <c r="E76" s="94">
        <v>46057.64</v>
      </c>
      <c r="F76" s="94">
        <v>129894.85</v>
      </c>
      <c r="G76" s="94">
        <v>175952.48</v>
      </c>
      <c r="H76" s="97">
        <v>121575.28</v>
      </c>
    </row>
    <row r="77" spans="2:8" x14ac:dyDescent="0.35">
      <c r="B77" s="33">
        <v>41244</v>
      </c>
      <c r="C77" s="95">
        <v>36202.46</v>
      </c>
      <c r="D77" s="94">
        <v>3949.88</v>
      </c>
      <c r="E77" s="94">
        <v>40152.339999999997</v>
      </c>
      <c r="F77" s="94">
        <v>117057.91</v>
      </c>
      <c r="G77" s="94">
        <v>157210.25</v>
      </c>
      <c r="H77" s="97">
        <v>110018.58</v>
      </c>
    </row>
    <row r="78" spans="2:8" x14ac:dyDescent="0.35">
      <c r="B78" s="33">
        <v>41275</v>
      </c>
      <c r="C78" s="95">
        <v>42970.51</v>
      </c>
      <c r="D78" s="94">
        <v>4145.8100000000004</v>
      </c>
      <c r="E78" s="94">
        <v>47116.32</v>
      </c>
      <c r="F78" s="94">
        <v>130764.52</v>
      </c>
      <c r="G78" s="94">
        <v>177880.84</v>
      </c>
      <c r="H78" s="97">
        <v>124262.61</v>
      </c>
    </row>
    <row r="79" spans="2:8" x14ac:dyDescent="0.35">
      <c r="B79" s="33">
        <v>41306</v>
      </c>
      <c r="C79" s="95">
        <v>43145.97</v>
      </c>
      <c r="D79" s="94">
        <v>3555.7</v>
      </c>
      <c r="E79" s="94">
        <v>46701.68</v>
      </c>
      <c r="F79" s="94">
        <v>116417.60000000001</v>
      </c>
      <c r="G79" s="94">
        <v>163119.28</v>
      </c>
      <c r="H79" s="97">
        <v>112271.19</v>
      </c>
    </row>
    <row r="80" spans="2:8" x14ac:dyDescent="0.35">
      <c r="B80" s="33">
        <v>41334</v>
      </c>
      <c r="C80" s="95">
        <v>35793.32</v>
      </c>
      <c r="D80" s="94">
        <v>2361.8200000000002</v>
      </c>
      <c r="E80" s="94">
        <v>38155.14</v>
      </c>
      <c r="F80" s="94">
        <v>108816.01</v>
      </c>
      <c r="G80" s="94">
        <v>146971.15</v>
      </c>
      <c r="H80" s="97">
        <v>96116.85</v>
      </c>
    </row>
    <row r="81" spans="2:8" x14ac:dyDescent="0.35">
      <c r="B81" s="33">
        <v>41365</v>
      </c>
      <c r="C81" s="95">
        <v>38774.879999999997</v>
      </c>
      <c r="D81" s="94">
        <v>3812.96</v>
      </c>
      <c r="E81" s="94">
        <v>42587.839999999997</v>
      </c>
      <c r="F81" s="94">
        <v>118664.19</v>
      </c>
      <c r="G81" s="94">
        <v>161252.03</v>
      </c>
      <c r="H81" s="97">
        <v>116158.86</v>
      </c>
    </row>
    <row r="82" spans="2:8" x14ac:dyDescent="0.35">
      <c r="B82" s="33">
        <v>41395</v>
      </c>
      <c r="C82" s="95">
        <v>39824.58</v>
      </c>
      <c r="D82" s="94">
        <v>3776.54</v>
      </c>
      <c r="E82" s="94">
        <v>43601.120000000003</v>
      </c>
      <c r="F82" s="94">
        <v>113701.52</v>
      </c>
      <c r="G82" s="94">
        <v>157302.64000000001</v>
      </c>
      <c r="H82" s="97">
        <v>107711.47</v>
      </c>
    </row>
    <row r="83" spans="2:8" x14ac:dyDescent="0.35">
      <c r="B83" s="33">
        <v>41426</v>
      </c>
      <c r="C83" s="95">
        <v>35870.76</v>
      </c>
      <c r="D83" s="94">
        <v>2773.4</v>
      </c>
      <c r="E83" s="94">
        <v>38644.17</v>
      </c>
      <c r="F83" s="94">
        <v>97060.75</v>
      </c>
      <c r="G83" s="94">
        <v>135704.92000000001</v>
      </c>
      <c r="H83" s="97">
        <v>99835.02</v>
      </c>
    </row>
    <row r="84" spans="2:8" x14ac:dyDescent="0.35">
      <c r="B84" s="33">
        <v>41456</v>
      </c>
      <c r="C84" s="95">
        <v>39455.24</v>
      </c>
      <c r="D84" s="94">
        <v>2071.27</v>
      </c>
      <c r="E84" s="94">
        <v>41526.51</v>
      </c>
      <c r="F84" s="94">
        <v>124207.24</v>
      </c>
      <c r="G84" s="94">
        <v>165733.74</v>
      </c>
      <c r="H84" s="97">
        <v>124592.67</v>
      </c>
    </row>
    <row r="85" spans="2:8" x14ac:dyDescent="0.35">
      <c r="B85" s="33">
        <v>41487</v>
      </c>
      <c r="C85" s="95">
        <v>36006.07</v>
      </c>
      <c r="D85" s="94">
        <v>4804.5200000000004</v>
      </c>
      <c r="E85" s="94">
        <v>40810.589999999997</v>
      </c>
      <c r="F85" s="94">
        <v>119643.75</v>
      </c>
      <c r="G85" s="94">
        <v>160454.34</v>
      </c>
      <c r="H85" s="97">
        <v>117980.47</v>
      </c>
    </row>
    <row r="86" spans="2:8" x14ac:dyDescent="0.35">
      <c r="B86" s="33">
        <v>41518</v>
      </c>
      <c r="C86" s="95">
        <v>36220.53</v>
      </c>
      <c r="D86" s="94">
        <v>5079.99</v>
      </c>
      <c r="E86" s="94">
        <v>41300.519999999997</v>
      </c>
      <c r="F86" s="94">
        <v>112317.66</v>
      </c>
      <c r="G86" s="94">
        <v>153618.18</v>
      </c>
      <c r="H86" s="97">
        <v>107868.56</v>
      </c>
    </row>
    <row r="87" spans="2:8" x14ac:dyDescent="0.35">
      <c r="B87" s="33">
        <v>41548</v>
      </c>
      <c r="C87" s="95">
        <v>36428.49</v>
      </c>
      <c r="D87" s="94">
        <v>2818.17</v>
      </c>
      <c r="E87" s="94">
        <v>39246.660000000003</v>
      </c>
      <c r="F87" s="94">
        <v>132206.44</v>
      </c>
      <c r="G87" s="94">
        <v>171453.1</v>
      </c>
      <c r="H87" s="97">
        <v>123968.23</v>
      </c>
    </row>
    <row r="88" spans="2:8" x14ac:dyDescent="0.35">
      <c r="B88" s="33">
        <v>41579</v>
      </c>
      <c r="C88" s="95">
        <v>37360.04</v>
      </c>
      <c r="D88" s="94">
        <v>6941.18</v>
      </c>
      <c r="E88" s="94">
        <v>44301.22</v>
      </c>
      <c r="F88" s="94">
        <v>116025.12</v>
      </c>
      <c r="G88" s="94">
        <v>160326.34</v>
      </c>
      <c r="H88" s="97">
        <v>115388.89</v>
      </c>
    </row>
    <row r="89" spans="2:8" x14ac:dyDescent="0.35">
      <c r="B89" s="33">
        <v>41609</v>
      </c>
      <c r="C89" s="95">
        <v>35851.93</v>
      </c>
      <c r="D89" s="94">
        <v>4456.3500000000004</v>
      </c>
      <c r="E89" s="94">
        <v>40308.269999999997</v>
      </c>
      <c r="F89" s="94">
        <v>118982.26</v>
      </c>
      <c r="G89" s="94">
        <v>159290.53</v>
      </c>
      <c r="H89" s="97">
        <v>111026.8</v>
      </c>
    </row>
    <row r="90" spans="2:8" x14ac:dyDescent="0.35">
      <c r="B90" s="33">
        <v>41640</v>
      </c>
      <c r="C90" s="95">
        <v>37962.47</v>
      </c>
      <c r="D90" s="94">
        <v>5100</v>
      </c>
      <c r="E90" s="94">
        <v>43062.47</v>
      </c>
      <c r="F90" s="94">
        <v>130116.45</v>
      </c>
      <c r="G90" s="94">
        <v>173178.92</v>
      </c>
      <c r="H90" s="97">
        <v>116475.34</v>
      </c>
    </row>
    <row r="91" spans="2:8" x14ac:dyDescent="0.35">
      <c r="B91" s="33">
        <v>41671</v>
      </c>
      <c r="C91" s="95">
        <v>36431.589999999997</v>
      </c>
      <c r="D91" s="94">
        <v>6216.24</v>
      </c>
      <c r="E91" s="94">
        <v>42647.83</v>
      </c>
      <c r="F91" s="94">
        <v>107072.27</v>
      </c>
      <c r="G91" s="94">
        <v>149720.1</v>
      </c>
      <c r="H91" s="97">
        <v>101953.85</v>
      </c>
    </row>
    <row r="92" spans="2:8" x14ac:dyDescent="0.35">
      <c r="B92" s="33">
        <v>41699</v>
      </c>
      <c r="C92" s="95">
        <v>41012.400000000001</v>
      </c>
      <c r="D92" s="94">
        <v>7820.41</v>
      </c>
      <c r="E92" s="94">
        <v>48832.81</v>
      </c>
      <c r="F92" s="94">
        <v>107990.37</v>
      </c>
      <c r="G92" s="94">
        <v>156823.18</v>
      </c>
      <c r="H92" s="97">
        <v>101320.05</v>
      </c>
    </row>
    <row r="93" spans="2:8" x14ac:dyDescent="0.35">
      <c r="B93" s="33">
        <v>41730</v>
      </c>
      <c r="C93" s="95">
        <v>38746.160000000003</v>
      </c>
      <c r="D93" s="94">
        <v>10249.25</v>
      </c>
      <c r="E93" s="94">
        <v>48995.41</v>
      </c>
      <c r="F93" s="94">
        <v>139284.60999999999</v>
      </c>
      <c r="G93" s="94">
        <v>188280.02</v>
      </c>
      <c r="H93" s="97">
        <v>127408.2</v>
      </c>
    </row>
    <row r="94" spans="2:8" x14ac:dyDescent="0.35">
      <c r="B94" s="33">
        <v>41760</v>
      </c>
      <c r="C94" s="95">
        <v>39095.31</v>
      </c>
      <c r="D94" s="94">
        <v>8993.26</v>
      </c>
      <c r="E94" s="94">
        <v>48088.57</v>
      </c>
      <c r="F94" s="94">
        <v>150477.64000000001</v>
      </c>
      <c r="G94" s="94">
        <v>198566.22</v>
      </c>
      <c r="H94" s="97">
        <v>139450.51</v>
      </c>
    </row>
    <row r="95" spans="2:8" x14ac:dyDescent="0.35">
      <c r="B95" s="33">
        <v>41791</v>
      </c>
      <c r="C95" s="95">
        <v>39200.339999999997</v>
      </c>
      <c r="D95" s="94">
        <v>6306.6</v>
      </c>
      <c r="E95" s="94">
        <v>45506.94</v>
      </c>
      <c r="F95" s="94">
        <v>113690.24000000001</v>
      </c>
      <c r="G95" s="94">
        <v>159197.18</v>
      </c>
      <c r="H95" s="97">
        <v>109262.71</v>
      </c>
    </row>
    <row r="96" spans="2:8" x14ac:dyDescent="0.35">
      <c r="B96" s="33">
        <v>41821</v>
      </c>
      <c r="C96" s="95">
        <v>39384.53</v>
      </c>
      <c r="D96" s="94">
        <v>8090.28</v>
      </c>
      <c r="E96" s="94">
        <v>47474.81</v>
      </c>
      <c r="F96" s="94">
        <v>148739.56</v>
      </c>
      <c r="G96" s="94">
        <v>196214.37</v>
      </c>
      <c r="H96" s="97">
        <v>139872.68</v>
      </c>
    </row>
    <row r="97" spans="2:16" x14ac:dyDescent="0.35">
      <c r="B97" s="33">
        <v>41852</v>
      </c>
      <c r="C97" s="95">
        <v>38462.11</v>
      </c>
      <c r="D97" s="94">
        <v>5499.6</v>
      </c>
      <c r="E97" s="94">
        <v>43961.71</v>
      </c>
      <c r="F97" s="94">
        <v>143929.5</v>
      </c>
      <c r="G97" s="94">
        <v>187891.21</v>
      </c>
      <c r="H97" s="97">
        <v>136793.13</v>
      </c>
    </row>
    <row r="98" spans="2:16" x14ac:dyDescent="0.35">
      <c r="B98" s="33">
        <v>41883</v>
      </c>
      <c r="C98" s="95">
        <v>37836.31</v>
      </c>
      <c r="D98" s="94">
        <v>2636.96</v>
      </c>
      <c r="E98" s="94">
        <v>40473.269999999997</v>
      </c>
      <c r="F98" s="94">
        <v>159936.01</v>
      </c>
      <c r="G98" s="94">
        <v>200409.28</v>
      </c>
      <c r="H98" s="97">
        <v>151824.82999999999</v>
      </c>
    </row>
    <row r="99" spans="2:16" x14ac:dyDescent="0.35">
      <c r="B99" s="33">
        <v>41913</v>
      </c>
      <c r="C99" s="95">
        <v>37499.26</v>
      </c>
      <c r="D99" s="94">
        <v>6640.72</v>
      </c>
      <c r="E99" s="94">
        <v>44139.98</v>
      </c>
      <c r="F99" s="94">
        <v>157402.04999999999</v>
      </c>
      <c r="G99" s="94">
        <v>201542.03</v>
      </c>
      <c r="H99" s="97">
        <v>150703.03</v>
      </c>
    </row>
    <row r="100" spans="2:16" x14ac:dyDescent="0.35">
      <c r="B100" s="33">
        <v>41944</v>
      </c>
      <c r="C100" s="95">
        <v>36720</v>
      </c>
      <c r="D100" s="94">
        <v>6173.34</v>
      </c>
      <c r="E100" s="94">
        <v>42893.33</v>
      </c>
      <c r="F100" s="94">
        <v>121600.12</v>
      </c>
      <c r="G100" s="94">
        <v>164493.45000000001</v>
      </c>
      <c r="H100" s="97">
        <v>114445.85</v>
      </c>
    </row>
    <row r="101" spans="2:16" x14ac:dyDescent="0.35">
      <c r="B101" s="33">
        <v>41974</v>
      </c>
      <c r="C101" s="95">
        <v>36841.480000000003</v>
      </c>
      <c r="D101" s="94">
        <v>4315.6000000000004</v>
      </c>
      <c r="E101" s="94">
        <v>41157.08</v>
      </c>
      <c r="F101" s="94">
        <v>138182.69</v>
      </c>
      <c r="G101" s="94">
        <v>179339.77</v>
      </c>
      <c r="H101" s="97">
        <v>128234.64</v>
      </c>
    </row>
    <row r="102" spans="2:16" x14ac:dyDescent="0.35">
      <c r="B102" s="33">
        <v>42005</v>
      </c>
      <c r="C102" s="95">
        <v>36364.269999999997</v>
      </c>
      <c r="D102" s="94">
        <v>4798.7</v>
      </c>
      <c r="E102" s="94">
        <v>41162.980000000003</v>
      </c>
      <c r="F102" s="94">
        <v>127647.41</v>
      </c>
      <c r="G102" s="94">
        <v>168810.38</v>
      </c>
      <c r="H102" s="97">
        <v>118921.74</v>
      </c>
    </row>
    <row r="103" spans="2:16" x14ac:dyDescent="0.35">
      <c r="B103" s="33">
        <v>42036</v>
      </c>
      <c r="C103" s="95">
        <v>38214.53</v>
      </c>
      <c r="D103" s="94">
        <v>4431.45</v>
      </c>
      <c r="E103" s="94">
        <v>42645.98</v>
      </c>
      <c r="F103" s="94">
        <v>113143.49</v>
      </c>
      <c r="G103" s="94">
        <v>155789.47</v>
      </c>
      <c r="H103" s="97">
        <v>105171.91</v>
      </c>
    </row>
    <row r="104" spans="2:16" x14ac:dyDescent="0.35">
      <c r="B104" s="33">
        <v>42064</v>
      </c>
      <c r="C104" s="95">
        <v>40646.69</v>
      </c>
      <c r="D104" s="94">
        <v>7060.24</v>
      </c>
      <c r="E104" s="94">
        <v>47706.93</v>
      </c>
      <c r="F104" s="94">
        <v>114862.49</v>
      </c>
      <c r="G104" s="94">
        <v>162569.42000000001</v>
      </c>
      <c r="H104" s="97">
        <v>108357.29</v>
      </c>
    </row>
    <row r="105" spans="2:16" x14ac:dyDescent="0.35">
      <c r="B105" s="33">
        <v>42095</v>
      </c>
      <c r="C105" s="95">
        <v>34360.68</v>
      </c>
      <c r="D105" s="94">
        <v>5520.18</v>
      </c>
      <c r="E105" s="94">
        <v>39880.86</v>
      </c>
      <c r="F105" s="94">
        <v>129842.15</v>
      </c>
      <c r="G105" s="94">
        <v>169723.01</v>
      </c>
      <c r="H105" s="97">
        <v>123286.34</v>
      </c>
    </row>
    <row r="106" spans="2:16" x14ac:dyDescent="0.35">
      <c r="B106" s="33">
        <v>42125</v>
      </c>
      <c r="C106" s="95">
        <v>37820.74</v>
      </c>
      <c r="D106" s="94">
        <v>8144.93</v>
      </c>
      <c r="E106" s="94">
        <v>45965.67</v>
      </c>
      <c r="F106" s="94">
        <v>144039.06</v>
      </c>
      <c r="G106" s="94">
        <v>190004.73</v>
      </c>
      <c r="H106" s="97">
        <v>136009.06</v>
      </c>
    </row>
    <row r="107" spans="2:16" x14ac:dyDescent="0.35">
      <c r="B107" s="33">
        <v>42156</v>
      </c>
      <c r="C107" s="95">
        <v>41681.160000000003</v>
      </c>
      <c r="D107" s="94">
        <v>5848.36</v>
      </c>
      <c r="E107" s="94">
        <v>47529.52</v>
      </c>
      <c r="F107" s="94">
        <v>128167.64</v>
      </c>
      <c r="G107" s="94">
        <v>175697.16</v>
      </c>
      <c r="H107" s="97">
        <v>122206.35</v>
      </c>
    </row>
    <row r="108" spans="2:16" x14ac:dyDescent="0.35">
      <c r="B108" s="33">
        <v>42186</v>
      </c>
      <c r="C108" s="95">
        <v>50412.04</v>
      </c>
      <c r="D108" s="94">
        <v>8993.68</v>
      </c>
      <c r="E108" s="94">
        <v>59405.72</v>
      </c>
      <c r="F108" s="94">
        <v>144153.03</v>
      </c>
      <c r="G108" s="94">
        <v>203558.76</v>
      </c>
      <c r="H108" s="97">
        <v>136353.76</v>
      </c>
    </row>
    <row r="109" spans="2:16" x14ac:dyDescent="0.35">
      <c r="B109" s="33">
        <v>42217</v>
      </c>
      <c r="C109" s="95">
        <v>46848.79</v>
      </c>
      <c r="D109" s="94">
        <v>8226.19</v>
      </c>
      <c r="E109" s="94">
        <v>55074.98</v>
      </c>
      <c r="F109" s="94">
        <v>125695.73</v>
      </c>
      <c r="G109" s="94">
        <v>180770.7</v>
      </c>
      <c r="H109" s="97">
        <v>118493.53</v>
      </c>
    </row>
    <row r="110" spans="2:16" x14ac:dyDescent="0.35">
      <c r="B110" s="33">
        <v>42248</v>
      </c>
      <c r="C110" s="95">
        <v>42333.8</v>
      </c>
      <c r="D110" s="94">
        <v>7606.85</v>
      </c>
      <c r="E110" s="94">
        <v>49940.639999999999</v>
      </c>
      <c r="F110" s="94">
        <v>138743.16</v>
      </c>
      <c r="G110" s="94">
        <v>188683.8</v>
      </c>
      <c r="H110" s="97">
        <v>130121.55</v>
      </c>
    </row>
    <row r="111" spans="2:16" x14ac:dyDescent="0.35">
      <c r="B111" s="33">
        <v>42278</v>
      </c>
      <c r="C111" s="95">
        <v>46377.79</v>
      </c>
      <c r="D111" s="94">
        <v>5753.38</v>
      </c>
      <c r="E111" s="94">
        <v>52131.17</v>
      </c>
      <c r="F111" s="94">
        <v>126644.38</v>
      </c>
      <c r="G111" s="94">
        <v>178775.55</v>
      </c>
      <c r="H111" s="97">
        <v>116454.88</v>
      </c>
    </row>
    <row r="112" spans="2:16" x14ac:dyDescent="0.35">
      <c r="B112" s="33">
        <v>42309</v>
      </c>
      <c r="C112" s="95">
        <v>40490.29</v>
      </c>
      <c r="D112" s="94">
        <v>8168.07</v>
      </c>
      <c r="E112" s="94">
        <v>48658.36</v>
      </c>
      <c r="F112" s="94">
        <v>162941.70000000001</v>
      </c>
      <c r="G112" s="94">
        <v>211600.06</v>
      </c>
      <c r="H112" s="97">
        <v>157257.79</v>
      </c>
      <c r="K112" s="14"/>
      <c r="L112" s="14"/>
      <c r="M112" s="14"/>
      <c r="N112" s="14"/>
      <c r="O112" s="14"/>
      <c r="P112" s="14"/>
    </row>
    <row r="113" spans="2:8" x14ac:dyDescent="0.35">
      <c r="B113" s="33">
        <v>42339</v>
      </c>
      <c r="C113" s="95">
        <v>42723.3</v>
      </c>
      <c r="D113" s="94">
        <v>8175.1</v>
      </c>
      <c r="E113" s="94">
        <v>50898.400000000001</v>
      </c>
      <c r="F113" s="94">
        <v>124450.72</v>
      </c>
      <c r="G113" s="94">
        <v>175349.13</v>
      </c>
      <c r="H113" s="97">
        <v>118025.63</v>
      </c>
    </row>
    <row r="114" spans="2:8" x14ac:dyDescent="0.35">
      <c r="B114" s="33">
        <v>42370</v>
      </c>
      <c r="C114" s="95">
        <v>41031.83</v>
      </c>
      <c r="D114" s="94">
        <v>6991.69</v>
      </c>
      <c r="E114" s="94">
        <v>48023.519999999997</v>
      </c>
      <c r="F114" s="94">
        <v>106482.97</v>
      </c>
      <c r="G114" s="94">
        <v>154506.49</v>
      </c>
      <c r="H114" s="97">
        <v>100529.56</v>
      </c>
    </row>
    <row r="115" spans="2:8" x14ac:dyDescent="0.35">
      <c r="B115" s="33">
        <v>42401</v>
      </c>
      <c r="C115" s="95">
        <v>42955.5</v>
      </c>
      <c r="D115" s="94">
        <v>9334.93</v>
      </c>
      <c r="E115" s="94">
        <v>52290.42</v>
      </c>
      <c r="F115" s="94">
        <v>100457.8</v>
      </c>
      <c r="G115" s="94">
        <v>152748.23000000001</v>
      </c>
      <c r="H115" s="97">
        <v>95003.53</v>
      </c>
    </row>
    <row r="116" spans="2:8" x14ac:dyDescent="0.35">
      <c r="B116" s="33">
        <v>42430</v>
      </c>
      <c r="C116" s="95">
        <v>46509.3</v>
      </c>
      <c r="D116" s="94">
        <v>7520.38</v>
      </c>
      <c r="E116" s="94">
        <v>54029.68</v>
      </c>
      <c r="F116" s="94">
        <v>114420.8</v>
      </c>
      <c r="G116" s="94">
        <v>168450.47</v>
      </c>
      <c r="H116" s="97">
        <v>110210.01</v>
      </c>
    </row>
    <row r="117" spans="2:8" x14ac:dyDescent="0.35">
      <c r="B117" s="33">
        <v>42461</v>
      </c>
      <c r="C117" s="95">
        <v>42828.78</v>
      </c>
      <c r="D117" s="94">
        <v>3470.23</v>
      </c>
      <c r="E117" s="94">
        <v>46299.01</v>
      </c>
      <c r="F117" s="94">
        <v>124810.31</v>
      </c>
      <c r="G117" s="94">
        <v>171109.33</v>
      </c>
      <c r="H117" s="97">
        <v>118549.72</v>
      </c>
    </row>
    <row r="118" spans="2:8" x14ac:dyDescent="0.35">
      <c r="B118" s="33">
        <v>42491</v>
      </c>
      <c r="C118" s="95">
        <v>45497.69</v>
      </c>
      <c r="D118" s="94">
        <v>4364.0200000000004</v>
      </c>
      <c r="E118" s="94">
        <v>49861.71</v>
      </c>
      <c r="F118" s="94">
        <v>116168.5</v>
      </c>
      <c r="G118" s="94">
        <v>166030.20000000001</v>
      </c>
      <c r="H118" s="97">
        <v>110031.89</v>
      </c>
    </row>
    <row r="119" spans="2:8" x14ac:dyDescent="0.35">
      <c r="B119" s="33">
        <v>42522</v>
      </c>
      <c r="C119" s="95">
        <v>42941.32</v>
      </c>
      <c r="D119" s="94">
        <v>5271.72</v>
      </c>
      <c r="E119" s="94">
        <v>48213.04</v>
      </c>
      <c r="F119" s="94">
        <v>127216.89</v>
      </c>
      <c r="G119" s="94">
        <v>175429.93</v>
      </c>
      <c r="H119" s="97">
        <v>117981.12</v>
      </c>
    </row>
    <row r="120" spans="2:8" x14ac:dyDescent="0.35">
      <c r="B120" s="33">
        <v>42552</v>
      </c>
      <c r="C120" s="95">
        <v>40935.33</v>
      </c>
      <c r="D120" s="94">
        <v>7044.47</v>
      </c>
      <c r="E120" s="94">
        <v>47979.8</v>
      </c>
      <c r="F120" s="94">
        <v>117319.89</v>
      </c>
      <c r="G120" s="94">
        <v>165299.69</v>
      </c>
      <c r="H120" s="97">
        <v>109567.16</v>
      </c>
    </row>
    <row r="121" spans="2:8" x14ac:dyDescent="0.35">
      <c r="B121" s="33">
        <v>42583</v>
      </c>
      <c r="C121" s="95">
        <v>41026.92</v>
      </c>
      <c r="D121" s="94">
        <v>6057.2</v>
      </c>
      <c r="E121" s="94">
        <v>47084.12</v>
      </c>
      <c r="F121" s="94">
        <v>132923.93</v>
      </c>
      <c r="G121" s="94">
        <v>180008.05</v>
      </c>
      <c r="H121" s="97">
        <v>111020.07</v>
      </c>
    </row>
    <row r="122" spans="2:8" x14ac:dyDescent="0.35">
      <c r="B122" s="33">
        <v>42614</v>
      </c>
      <c r="C122" s="95">
        <v>39975.14</v>
      </c>
      <c r="D122" s="94">
        <v>5927.84</v>
      </c>
      <c r="E122" s="94">
        <v>45902.99</v>
      </c>
      <c r="F122" s="94">
        <v>124427.54</v>
      </c>
      <c r="G122" s="94">
        <v>170330.53</v>
      </c>
      <c r="H122" s="97">
        <v>118410.2</v>
      </c>
    </row>
    <row r="123" spans="2:8" x14ac:dyDescent="0.35">
      <c r="B123" s="33">
        <v>42644</v>
      </c>
      <c r="C123" s="95">
        <v>35540.71</v>
      </c>
      <c r="D123" s="94">
        <v>6509.43</v>
      </c>
      <c r="E123" s="94">
        <v>42050.14</v>
      </c>
      <c r="F123" s="94">
        <v>115177.82</v>
      </c>
      <c r="G123" s="94">
        <v>157227.96</v>
      </c>
      <c r="H123" s="97">
        <v>108844.7</v>
      </c>
    </row>
    <row r="124" spans="2:8" x14ac:dyDescent="0.35">
      <c r="B124" s="33">
        <v>42675</v>
      </c>
      <c r="C124" s="95">
        <v>44794.89</v>
      </c>
      <c r="D124" s="94">
        <v>4857.03</v>
      </c>
      <c r="E124" s="94">
        <v>49651.92</v>
      </c>
      <c r="F124" s="94">
        <v>129331.33</v>
      </c>
      <c r="G124" s="94">
        <v>178983.25</v>
      </c>
      <c r="H124" s="97">
        <v>125029.98</v>
      </c>
    </row>
    <row r="125" spans="2:8" x14ac:dyDescent="0.35">
      <c r="B125" s="33">
        <v>42705</v>
      </c>
      <c r="C125" s="95">
        <v>42510.41</v>
      </c>
      <c r="D125" s="94">
        <v>4170.09</v>
      </c>
      <c r="E125" s="94">
        <v>46680.5</v>
      </c>
      <c r="F125" s="94">
        <v>123007.09</v>
      </c>
      <c r="G125" s="94">
        <v>169687.59</v>
      </c>
      <c r="H125" s="97">
        <v>105460.35</v>
      </c>
    </row>
    <row r="126" spans="2:8" x14ac:dyDescent="0.35">
      <c r="B126" s="33">
        <v>42736</v>
      </c>
      <c r="C126" s="95">
        <v>43703.87</v>
      </c>
      <c r="D126" s="94">
        <v>5136.57</v>
      </c>
      <c r="E126" s="94">
        <v>48840.44</v>
      </c>
      <c r="F126" s="94">
        <v>150736.35999999999</v>
      </c>
      <c r="G126" s="94">
        <v>199576.79</v>
      </c>
      <c r="H126" s="97">
        <v>143572.71</v>
      </c>
    </row>
    <row r="127" spans="2:8" x14ac:dyDescent="0.35">
      <c r="B127" s="33">
        <v>42767</v>
      </c>
      <c r="C127" s="95">
        <v>43846.59</v>
      </c>
      <c r="D127" s="94">
        <v>4110.68</v>
      </c>
      <c r="E127" s="94">
        <v>47957.27</v>
      </c>
      <c r="F127" s="94">
        <v>130839.93</v>
      </c>
      <c r="G127" s="94">
        <v>178797.2</v>
      </c>
      <c r="H127" s="97">
        <v>125858.5</v>
      </c>
    </row>
    <row r="128" spans="2:8" x14ac:dyDescent="0.35">
      <c r="B128" s="33">
        <v>42795</v>
      </c>
      <c r="C128" s="95">
        <v>47482.41</v>
      </c>
      <c r="D128" s="94">
        <v>6569.38</v>
      </c>
      <c r="E128" s="94">
        <v>54051.79</v>
      </c>
      <c r="F128" s="94">
        <v>141106.51999999999</v>
      </c>
      <c r="G128" s="94">
        <v>195158.31</v>
      </c>
      <c r="H128" s="97">
        <v>136366.43</v>
      </c>
    </row>
    <row r="129" spans="2:8" x14ac:dyDescent="0.35">
      <c r="B129" s="33">
        <v>42826</v>
      </c>
      <c r="C129" s="95">
        <v>39102.74</v>
      </c>
      <c r="D129" s="94">
        <v>5698.73</v>
      </c>
      <c r="E129" s="94">
        <v>44801.46</v>
      </c>
      <c r="F129" s="94">
        <v>129068.56</v>
      </c>
      <c r="G129" s="94">
        <v>173870.03</v>
      </c>
      <c r="H129" s="97">
        <v>122018.53</v>
      </c>
    </row>
    <row r="130" spans="2:8" x14ac:dyDescent="0.35">
      <c r="B130" s="33">
        <v>42856</v>
      </c>
      <c r="C130" s="95">
        <v>46927.55</v>
      </c>
      <c r="D130" s="94">
        <v>5742.76</v>
      </c>
      <c r="E130" s="94">
        <v>52670.31</v>
      </c>
      <c r="F130" s="94">
        <v>151426.29999999999</v>
      </c>
      <c r="G130" s="94">
        <v>204096.61</v>
      </c>
      <c r="H130" s="97">
        <v>143727.07</v>
      </c>
    </row>
    <row r="131" spans="2:8" x14ac:dyDescent="0.35">
      <c r="B131" s="33">
        <v>42887</v>
      </c>
      <c r="C131" s="95">
        <v>46416.44</v>
      </c>
      <c r="D131" s="94">
        <v>5157.43</v>
      </c>
      <c r="E131" s="94">
        <v>51573.88</v>
      </c>
      <c r="F131" s="94">
        <v>143013.54</v>
      </c>
      <c r="G131" s="94">
        <v>194587.42</v>
      </c>
      <c r="H131" s="97">
        <v>139043.34</v>
      </c>
    </row>
    <row r="132" spans="2:8" x14ac:dyDescent="0.35">
      <c r="B132" s="33">
        <v>42917</v>
      </c>
      <c r="C132" s="95">
        <v>47369.84</v>
      </c>
      <c r="D132" s="94">
        <v>5552</v>
      </c>
      <c r="E132" s="94">
        <v>52921.84</v>
      </c>
      <c r="F132" s="94">
        <v>165573.49</v>
      </c>
      <c r="G132" s="94">
        <v>218495.33</v>
      </c>
      <c r="H132" s="97">
        <v>152669.24</v>
      </c>
    </row>
    <row r="133" spans="2:8" x14ac:dyDescent="0.35">
      <c r="B133" s="33">
        <v>42948</v>
      </c>
      <c r="C133" s="95">
        <v>37198.959999999999</v>
      </c>
      <c r="D133" s="94">
        <v>4467.32</v>
      </c>
      <c r="E133" s="94">
        <v>41666.28</v>
      </c>
      <c r="F133" s="94">
        <v>144294.70000000001</v>
      </c>
      <c r="G133" s="94">
        <v>185960.98</v>
      </c>
      <c r="H133" s="97">
        <v>137752.28</v>
      </c>
    </row>
    <row r="134" spans="2:8" x14ac:dyDescent="0.35">
      <c r="B134" s="33">
        <v>42979</v>
      </c>
      <c r="C134" s="95">
        <v>45604.73</v>
      </c>
      <c r="D134" s="94">
        <v>4771.0600000000004</v>
      </c>
      <c r="E134" s="94">
        <v>50375.79</v>
      </c>
      <c r="F134" s="94">
        <v>141137.42000000001</v>
      </c>
      <c r="G134" s="94">
        <v>191513.21</v>
      </c>
      <c r="H134" s="97">
        <v>137677.49</v>
      </c>
    </row>
    <row r="135" spans="2:8" x14ac:dyDescent="0.35">
      <c r="B135" s="33">
        <v>43009</v>
      </c>
      <c r="C135" s="95">
        <v>43194.97</v>
      </c>
      <c r="D135" s="94">
        <v>5894</v>
      </c>
      <c r="E135" s="94">
        <v>49088.97</v>
      </c>
      <c r="F135" s="94">
        <v>147899.66</v>
      </c>
      <c r="G135" s="94">
        <v>196988.62</v>
      </c>
      <c r="H135" s="97">
        <v>141563.09</v>
      </c>
    </row>
    <row r="136" spans="2:8" x14ac:dyDescent="0.35">
      <c r="B136" s="33">
        <v>43040</v>
      </c>
      <c r="C136" s="95">
        <v>45182.26</v>
      </c>
      <c r="D136" s="94">
        <v>5692.39</v>
      </c>
      <c r="E136" s="94">
        <v>50874.65</v>
      </c>
      <c r="F136" s="94">
        <v>138150.92000000001</v>
      </c>
      <c r="G136" s="94">
        <v>189025.57</v>
      </c>
      <c r="H136" s="97">
        <v>133698.81</v>
      </c>
    </row>
    <row r="137" spans="2:8" x14ac:dyDescent="0.35">
      <c r="B137" s="33">
        <v>43070</v>
      </c>
      <c r="C137" s="95">
        <v>44587.040000000001</v>
      </c>
      <c r="D137" s="94">
        <v>4723.08</v>
      </c>
      <c r="E137" s="94">
        <v>49310.12</v>
      </c>
      <c r="F137" s="94">
        <v>141809.92000000001</v>
      </c>
      <c r="G137" s="94">
        <v>191120.04</v>
      </c>
      <c r="H137" s="97">
        <v>133824.43</v>
      </c>
    </row>
    <row r="138" spans="2:8" x14ac:dyDescent="0.35">
      <c r="B138" s="33">
        <v>43101</v>
      </c>
      <c r="C138" s="95">
        <v>46227.5</v>
      </c>
      <c r="D138" s="94">
        <v>7219.43</v>
      </c>
      <c r="E138" s="94">
        <v>53446.93</v>
      </c>
      <c r="F138" s="94">
        <v>157516.94</v>
      </c>
      <c r="G138" s="94">
        <v>210963.87</v>
      </c>
      <c r="H138" s="97">
        <v>150660.74</v>
      </c>
    </row>
    <row r="139" spans="2:8" x14ac:dyDescent="0.35">
      <c r="B139" s="33">
        <v>43132</v>
      </c>
      <c r="C139" s="95">
        <v>49398.06</v>
      </c>
      <c r="D139" s="94">
        <v>7873.55</v>
      </c>
      <c r="E139" s="94">
        <v>57271.61</v>
      </c>
      <c r="F139" s="94">
        <v>128943.27</v>
      </c>
      <c r="G139" s="94">
        <v>186214.89</v>
      </c>
      <c r="H139" s="97">
        <v>125930.74</v>
      </c>
    </row>
    <row r="140" spans="2:8" x14ac:dyDescent="0.35">
      <c r="B140" s="33">
        <v>43160</v>
      </c>
      <c r="C140" s="95">
        <v>46310.17</v>
      </c>
      <c r="D140" s="94">
        <v>4682.59</v>
      </c>
      <c r="E140" s="94">
        <v>50992.76</v>
      </c>
      <c r="F140" s="94">
        <v>152038.51</v>
      </c>
      <c r="G140" s="94">
        <v>203031.27</v>
      </c>
      <c r="H140" s="97">
        <v>142361.49</v>
      </c>
    </row>
    <row r="141" spans="2:8" x14ac:dyDescent="0.35">
      <c r="B141" s="33">
        <v>43191</v>
      </c>
      <c r="C141" s="95">
        <v>43138.42</v>
      </c>
      <c r="D141" s="94">
        <v>6909.26</v>
      </c>
      <c r="E141" s="94">
        <v>50047.68</v>
      </c>
      <c r="F141" s="94">
        <v>150002.07999999999</v>
      </c>
      <c r="G141" s="94">
        <v>200049.76</v>
      </c>
      <c r="H141" s="97">
        <v>138412.71</v>
      </c>
    </row>
    <row r="142" spans="2:8" x14ac:dyDescent="0.35">
      <c r="B142" s="33">
        <v>43221</v>
      </c>
      <c r="C142" s="95">
        <v>47728.87</v>
      </c>
      <c r="D142" s="94">
        <v>7585</v>
      </c>
      <c r="E142" s="94">
        <v>55313.87</v>
      </c>
      <c r="F142" s="94">
        <v>168020.1</v>
      </c>
      <c r="G142" s="94">
        <v>223333.98</v>
      </c>
      <c r="H142" s="97">
        <v>161799.9</v>
      </c>
    </row>
    <row r="143" spans="2:8" x14ac:dyDescent="0.35">
      <c r="B143" s="33">
        <v>43252</v>
      </c>
      <c r="C143" s="95">
        <v>48724.34</v>
      </c>
      <c r="D143" s="94">
        <v>4194.8999999999996</v>
      </c>
      <c r="E143" s="94">
        <v>52919.25</v>
      </c>
      <c r="F143" s="94">
        <v>142525.5</v>
      </c>
      <c r="G143" s="94">
        <v>195444.74</v>
      </c>
      <c r="H143" s="97">
        <v>137593.9</v>
      </c>
    </row>
    <row r="144" spans="2:8" x14ac:dyDescent="0.35">
      <c r="B144" s="33">
        <v>43282</v>
      </c>
      <c r="C144" s="95">
        <v>46391.15</v>
      </c>
      <c r="D144" s="94">
        <v>6493.71</v>
      </c>
      <c r="E144" s="94">
        <v>52884.86</v>
      </c>
      <c r="F144" s="94">
        <v>152648.13</v>
      </c>
      <c r="G144" s="94">
        <v>205532.99</v>
      </c>
      <c r="H144" s="97">
        <v>150329.69</v>
      </c>
    </row>
    <row r="145" spans="2:16" x14ac:dyDescent="0.35">
      <c r="B145" s="33">
        <v>43313</v>
      </c>
      <c r="C145" s="95">
        <v>43297.56</v>
      </c>
      <c r="D145" s="94">
        <v>7689.34</v>
      </c>
      <c r="E145" s="94">
        <v>50986.9</v>
      </c>
      <c r="F145" s="94">
        <v>149306.97</v>
      </c>
      <c r="G145" s="94">
        <v>200293.87</v>
      </c>
      <c r="H145" s="97">
        <v>139351.18</v>
      </c>
    </row>
    <row r="146" spans="2:16" x14ac:dyDescent="0.35">
      <c r="B146" s="33">
        <v>43344</v>
      </c>
      <c r="C146" s="95">
        <v>42637.13</v>
      </c>
      <c r="D146" s="94">
        <v>4140.25</v>
      </c>
      <c r="E146" s="94">
        <v>46777.38</v>
      </c>
      <c r="F146" s="94">
        <v>129796.06</v>
      </c>
      <c r="G146" s="94">
        <v>176573.44</v>
      </c>
      <c r="H146" s="97">
        <v>125826.66</v>
      </c>
    </row>
    <row r="147" spans="2:16" x14ac:dyDescent="0.35">
      <c r="B147" s="33">
        <v>43374</v>
      </c>
      <c r="C147" s="95">
        <v>44137.25</v>
      </c>
      <c r="D147" s="94">
        <v>5821.96</v>
      </c>
      <c r="E147" s="94">
        <v>49959.22</v>
      </c>
      <c r="F147" s="94">
        <v>149245.10999999999</v>
      </c>
      <c r="G147" s="94">
        <v>199204.32</v>
      </c>
      <c r="H147" s="97">
        <v>137316.22</v>
      </c>
    </row>
    <row r="148" spans="2:16" x14ac:dyDescent="0.35">
      <c r="B148" s="33">
        <v>43405</v>
      </c>
      <c r="C148" s="95">
        <v>44073.599999999999</v>
      </c>
      <c r="D148" s="94">
        <v>4241.97</v>
      </c>
      <c r="E148" s="94">
        <v>48315.57</v>
      </c>
      <c r="F148" s="94">
        <v>153491.79</v>
      </c>
      <c r="G148" s="94">
        <v>201807.35</v>
      </c>
      <c r="H148" s="97">
        <v>149201.71</v>
      </c>
    </row>
    <row r="149" spans="2:16" x14ac:dyDescent="0.35">
      <c r="B149" s="33">
        <v>43435</v>
      </c>
      <c r="C149" s="95">
        <v>39405.360000000001</v>
      </c>
      <c r="D149" s="94">
        <v>4607.2299999999996</v>
      </c>
      <c r="E149" s="94">
        <v>44012.59</v>
      </c>
      <c r="F149" s="94">
        <v>126686.88</v>
      </c>
      <c r="G149" s="94">
        <v>170699.47</v>
      </c>
      <c r="H149" s="97">
        <v>121827.3</v>
      </c>
    </row>
    <row r="150" spans="2:16" x14ac:dyDescent="0.35">
      <c r="B150" s="33">
        <v>43466</v>
      </c>
      <c r="C150" s="95">
        <v>46362.3</v>
      </c>
      <c r="D150" s="94">
        <v>6927.94</v>
      </c>
      <c r="E150" s="94">
        <v>53290.239999999998</v>
      </c>
      <c r="F150" s="94">
        <v>155111.66</v>
      </c>
      <c r="G150" s="94">
        <v>208401.89</v>
      </c>
      <c r="H150" s="97">
        <v>140661.13</v>
      </c>
    </row>
    <row r="151" spans="2:16" x14ac:dyDescent="0.35">
      <c r="B151" s="33">
        <v>43497</v>
      </c>
      <c r="C151" s="95">
        <v>44523.02</v>
      </c>
      <c r="D151" s="94">
        <v>6398.23</v>
      </c>
      <c r="E151" s="94">
        <v>50921.25</v>
      </c>
      <c r="F151" s="94">
        <v>141272.84</v>
      </c>
      <c r="G151" s="94">
        <v>192194.1</v>
      </c>
      <c r="H151" s="97">
        <v>139034</v>
      </c>
    </row>
    <row r="152" spans="2:16" x14ac:dyDescent="0.35">
      <c r="B152" s="33">
        <v>43525</v>
      </c>
      <c r="C152" s="95">
        <v>46628.18</v>
      </c>
      <c r="D152" s="94">
        <v>6061.47</v>
      </c>
      <c r="E152" s="94">
        <v>52689.64</v>
      </c>
      <c r="F152" s="94">
        <v>124864.98</v>
      </c>
      <c r="G152" s="94">
        <v>177554.63</v>
      </c>
      <c r="H152" s="97">
        <v>99079.22</v>
      </c>
    </row>
    <row r="153" spans="2:16" x14ac:dyDescent="0.35">
      <c r="B153" s="33">
        <v>43556</v>
      </c>
      <c r="C153" s="95">
        <v>43355.31</v>
      </c>
      <c r="D153" s="94">
        <v>5457.39</v>
      </c>
      <c r="E153" s="94">
        <v>48812.69</v>
      </c>
      <c r="F153" s="94">
        <v>150442.47</v>
      </c>
      <c r="G153" s="94">
        <v>199255.17</v>
      </c>
      <c r="H153" s="97">
        <v>137085.26999999999</v>
      </c>
    </row>
    <row r="154" spans="2:16" x14ac:dyDescent="0.35">
      <c r="B154" s="33">
        <v>43586</v>
      </c>
      <c r="C154" s="95">
        <v>39663.21</v>
      </c>
      <c r="D154" s="94">
        <v>6784.17</v>
      </c>
      <c r="E154" s="94">
        <v>46447.39</v>
      </c>
      <c r="F154" s="94">
        <v>154890.79999999999</v>
      </c>
      <c r="G154" s="94">
        <v>201338.19</v>
      </c>
      <c r="H154" s="97">
        <v>148047.88</v>
      </c>
    </row>
    <row r="155" spans="2:16" x14ac:dyDescent="0.35">
      <c r="B155" s="33">
        <v>43617</v>
      </c>
      <c r="C155" s="95">
        <v>45726.33</v>
      </c>
      <c r="D155" s="94">
        <v>5417.8</v>
      </c>
      <c r="E155" s="94">
        <v>51144.13</v>
      </c>
      <c r="F155" s="94">
        <v>144613.63</v>
      </c>
      <c r="G155" s="94">
        <v>195757.76</v>
      </c>
      <c r="H155" s="97">
        <v>112329.06</v>
      </c>
    </row>
    <row r="156" spans="2:16" x14ac:dyDescent="0.35">
      <c r="B156" s="33">
        <v>43647</v>
      </c>
      <c r="C156" s="95">
        <v>40545.839999999997</v>
      </c>
      <c r="D156" s="94">
        <v>9673.6</v>
      </c>
      <c r="E156" s="94">
        <v>50219.44</v>
      </c>
      <c r="F156" s="94">
        <v>153590.24</v>
      </c>
      <c r="G156" s="94">
        <v>203809.68</v>
      </c>
      <c r="H156" s="97">
        <v>121498.4</v>
      </c>
    </row>
    <row r="157" spans="2:16" x14ac:dyDescent="0.35">
      <c r="B157" s="33">
        <v>43678</v>
      </c>
      <c r="C157" s="95">
        <v>44572.98</v>
      </c>
      <c r="D157" s="94">
        <v>5031.29</v>
      </c>
      <c r="E157" s="94">
        <v>49604.27</v>
      </c>
      <c r="F157" s="94">
        <v>132801.69</v>
      </c>
      <c r="G157" s="94">
        <v>182405.96</v>
      </c>
      <c r="H157" s="97">
        <v>129128.41</v>
      </c>
    </row>
    <row r="158" spans="2:16" x14ac:dyDescent="0.35">
      <c r="B158" s="33">
        <v>43709</v>
      </c>
      <c r="C158" s="95">
        <v>39824.06</v>
      </c>
      <c r="D158" s="94">
        <v>6233.49</v>
      </c>
      <c r="E158" s="94">
        <v>46057.54</v>
      </c>
      <c r="F158" s="94">
        <v>124149.98</v>
      </c>
      <c r="G158" s="94">
        <v>170207.52</v>
      </c>
      <c r="H158" s="97">
        <v>118301.87</v>
      </c>
    </row>
    <row r="159" spans="2:16" x14ac:dyDescent="0.35">
      <c r="B159" s="33">
        <v>43739</v>
      </c>
      <c r="C159" s="95">
        <v>44953.95</v>
      </c>
      <c r="D159" s="94">
        <v>5432.14</v>
      </c>
      <c r="E159" s="94">
        <v>50386.09</v>
      </c>
      <c r="F159" s="94">
        <v>159175.35999999999</v>
      </c>
      <c r="G159" s="94">
        <v>209561.45</v>
      </c>
      <c r="H159" s="97">
        <v>117223.45</v>
      </c>
    </row>
    <row r="160" spans="2:16" x14ac:dyDescent="0.35">
      <c r="B160" s="33">
        <v>43770</v>
      </c>
      <c r="C160" s="95">
        <v>43823.22</v>
      </c>
      <c r="D160" s="94">
        <v>7856.61</v>
      </c>
      <c r="E160" s="94">
        <v>51679.82</v>
      </c>
      <c r="F160" s="94">
        <v>159402.99</v>
      </c>
      <c r="G160" s="94">
        <v>211082.82</v>
      </c>
      <c r="H160" s="97">
        <v>128583.28</v>
      </c>
      <c r="K160" s="14"/>
      <c r="L160" s="14"/>
      <c r="M160" s="14"/>
      <c r="N160" s="14"/>
      <c r="O160" s="14"/>
      <c r="P160" s="14"/>
    </row>
    <row r="161" spans="2:8" x14ac:dyDescent="0.35">
      <c r="B161" s="33">
        <v>43800</v>
      </c>
      <c r="C161" s="95">
        <v>38663.199999999997</v>
      </c>
      <c r="D161" s="94">
        <v>4111.59</v>
      </c>
      <c r="E161" s="94">
        <v>42774.8</v>
      </c>
      <c r="F161" s="94">
        <v>155261.57999999999</v>
      </c>
      <c r="G161" s="94">
        <v>198036.38</v>
      </c>
      <c r="H161" s="97">
        <v>142803.74</v>
      </c>
    </row>
    <row r="162" spans="2:8" x14ac:dyDescent="0.35">
      <c r="B162" s="33">
        <v>43831</v>
      </c>
      <c r="C162" s="95">
        <v>47324.800000000003</v>
      </c>
      <c r="D162" s="94">
        <v>5801.5</v>
      </c>
      <c r="E162" s="94">
        <v>53126.3</v>
      </c>
      <c r="F162" s="94">
        <v>155432.97</v>
      </c>
      <c r="G162" s="94">
        <v>208559.27</v>
      </c>
      <c r="H162" s="97">
        <v>145663.4</v>
      </c>
    </row>
    <row r="163" spans="2:8" x14ac:dyDescent="0.35">
      <c r="B163" s="33">
        <v>43862</v>
      </c>
      <c r="C163" s="95">
        <v>47900.33</v>
      </c>
      <c r="D163" s="94">
        <v>13205.92</v>
      </c>
      <c r="E163" s="94">
        <v>61106.25</v>
      </c>
      <c r="F163" s="94">
        <v>133824.66</v>
      </c>
      <c r="G163" s="94">
        <v>194930.91</v>
      </c>
      <c r="H163" s="97">
        <v>126980.05</v>
      </c>
    </row>
    <row r="164" spans="2:8" x14ac:dyDescent="0.35">
      <c r="B164" s="33">
        <v>43891</v>
      </c>
      <c r="C164" s="95">
        <v>49652.97</v>
      </c>
      <c r="D164" s="94">
        <v>14830.75</v>
      </c>
      <c r="E164" s="94">
        <v>64483.72</v>
      </c>
      <c r="F164" s="94">
        <v>137240.93</v>
      </c>
      <c r="G164" s="94">
        <v>201724.65</v>
      </c>
      <c r="H164" s="97">
        <v>104004.63</v>
      </c>
    </row>
    <row r="165" spans="2:8" x14ac:dyDescent="0.35">
      <c r="B165" s="33">
        <v>43922</v>
      </c>
      <c r="C165" s="95">
        <v>40675.660000000003</v>
      </c>
      <c r="D165" s="94">
        <v>2537.29</v>
      </c>
      <c r="E165" s="94">
        <v>43212.94</v>
      </c>
      <c r="F165" s="94">
        <v>119758.2</v>
      </c>
      <c r="G165" s="94">
        <v>162971.15</v>
      </c>
      <c r="H165" s="97">
        <v>100367.05</v>
      </c>
    </row>
    <row r="166" spans="2:8" x14ac:dyDescent="0.35">
      <c r="B166" s="33">
        <v>43952</v>
      </c>
      <c r="C166" s="95">
        <v>41800.44</v>
      </c>
      <c r="D166" s="94">
        <v>5398.51</v>
      </c>
      <c r="E166" s="94">
        <v>47198.95</v>
      </c>
      <c r="F166" s="94">
        <v>108699.14</v>
      </c>
      <c r="G166" s="94">
        <v>155898.09</v>
      </c>
      <c r="H166" s="97">
        <v>104957.03</v>
      </c>
    </row>
    <row r="167" spans="2:8" x14ac:dyDescent="0.35">
      <c r="B167" s="33">
        <v>43983</v>
      </c>
      <c r="C167" s="95">
        <v>44520.97</v>
      </c>
      <c r="D167" s="94">
        <v>3528.33</v>
      </c>
      <c r="E167" s="94">
        <v>48049.3</v>
      </c>
      <c r="F167" s="94">
        <v>121602.01</v>
      </c>
      <c r="G167" s="94">
        <v>169651.31</v>
      </c>
      <c r="H167" s="97">
        <v>119885.4</v>
      </c>
    </row>
    <row r="168" spans="2:8" x14ac:dyDescent="0.35">
      <c r="B168" s="33">
        <v>44013</v>
      </c>
      <c r="C168" s="95">
        <v>45695.71</v>
      </c>
      <c r="D168" s="94">
        <v>6304.59</v>
      </c>
      <c r="E168" s="94">
        <v>52000.3</v>
      </c>
      <c r="F168" s="94">
        <v>138761.10999999999</v>
      </c>
      <c r="G168" s="94">
        <v>190761.41</v>
      </c>
      <c r="H168" s="97">
        <v>136026.07</v>
      </c>
    </row>
    <row r="169" spans="2:8" x14ac:dyDescent="0.35">
      <c r="B169" s="33">
        <v>44044</v>
      </c>
      <c r="C169" s="95">
        <v>49502.5</v>
      </c>
      <c r="D169" s="94">
        <v>4660.6000000000004</v>
      </c>
      <c r="E169" s="94">
        <v>54163.1</v>
      </c>
      <c r="F169" s="94">
        <v>137775.57</v>
      </c>
      <c r="G169" s="94">
        <v>191938.67</v>
      </c>
      <c r="H169" s="97">
        <v>137350.1</v>
      </c>
    </row>
    <row r="170" spans="2:8" x14ac:dyDescent="0.35">
      <c r="B170" s="33">
        <v>44075</v>
      </c>
      <c r="C170" s="95">
        <v>48536.58</v>
      </c>
      <c r="D170" s="94">
        <v>7870.26</v>
      </c>
      <c r="E170" s="94">
        <v>56406.84</v>
      </c>
      <c r="F170" s="94">
        <v>143391.26999999999</v>
      </c>
      <c r="G170" s="94">
        <v>199798.11</v>
      </c>
      <c r="H170" s="97">
        <v>140485.82</v>
      </c>
    </row>
    <row r="171" spans="2:8" x14ac:dyDescent="0.35">
      <c r="B171" s="33">
        <v>44105</v>
      </c>
      <c r="C171" s="95">
        <v>49319.22</v>
      </c>
      <c r="D171" s="94">
        <v>3842.81</v>
      </c>
      <c r="E171" s="94">
        <v>53162.02</v>
      </c>
      <c r="F171" s="94">
        <v>145238.48000000001</v>
      </c>
      <c r="G171" s="94">
        <v>198400.51</v>
      </c>
      <c r="H171" s="97">
        <v>140564.71</v>
      </c>
    </row>
    <row r="172" spans="2:8" x14ac:dyDescent="0.35">
      <c r="B172" s="33">
        <v>44136</v>
      </c>
      <c r="C172" s="95">
        <v>47390.54</v>
      </c>
      <c r="D172" s="94">
        <v>3398.24</v>
      </c>
      <c r="E172" s="94">
        <v>50788.79</v>
      </c>
      <c r="F172" s="94">
        <v>139042.14000000001</v>
      </c>
      <c r="G172" s="94">
        <v>189830.93</v>
      </c>
      <c r="H172" s="97">
        <v>132791.54</v>
      </c>
    </row>
    <row r="173" spans="2:8" x14ac:dyDescent="0.35">
      <c r="B173" s="33">
        <v>44166</v>
      </c>
      <c r="C173" s="95">
        <v>52299.28</v>
      </c>
      <c r="D173" s="94">
        <v>5209.71</v>
      </c>
      <c r="E173" s="94">
        <v>57508.99</v>
      </c>
      <c r="F173" s="94">
        <v>161455.69</v>
      </c>
      <c r="G173" s="94">
        <v>218964.68</v>
      </c>
      <c r="H173" s="97">
        <v>157227.72</v>
      </c>
    </row>
    <row r="174" spans="2:8" x14ac:dyDescent="0.35">
      <c r="B174" s="33">
        <v>44197</v>
      </c>
      <c r="C174" s="95">
        <v>49570.48</v>
      </c>
      <c r="D174" s="94">
        <v>4743.1499999999996</v>
      </c>
      <c r="E174" s="94">
        <v>54313.63</v>
      </c>
      <c r="F174" s="94">
        <v>160723.93</v>
      </c>
      <c r="G174" s="94">
        <v>215037.56</v>
      </c>
      <c r="H174" s="97">
        <v>152098.04</v>
      </c>
    </row>
    <row r="175" spans="2:8" x14ac:dyDescent="0.35">
      <c r="B175" s="33">
        <v>44228</v>
      </c>
      <c r="C175" s="95">
        <v>58701.48</v>
      </c>
      <c r="D175" s="94">
        <v>8790.0499999999993</v>
      </c>
      <c r="E175" s="94">
        <v>67491.53</v>
      </c>
      <c r="F175" s="94">
        <v>159547.18</v>
      </c>
      <c r="G175" s="94">
        <v>227038.71</v>
      </c>
      <c r="H175" s="97">
        <v>153277.19</v>
      </c>
    </row>
    <row r="176" spans="2:8" x14ac:dyDescent="0.35">
      <c r="B176" s="33">
        <v>44256</v>
      </c>
      <c r="C176" s="95">
        <v>60215.79</v>
      </c>
      <c r="D176" s="94">
        <v>8029.39</v>
      </c>
      <c r="E176" s="94">
        <v>68245.19</v>
      </c>
      <c r="F176" s="94">
        <v>187095.06</v>
      </c>
      <c r="G176" s="94">
        <v>255340.25</v>
      </c>
      <c r="H176" s="97">
        <v>183373.06</v>
      </c>
    </row>
    <row r="177" spans="2:8" x14ac:dyDescent="0.35">
      <c r="B177" s="33">
        <v>44287</v>
      </c>
      <c r="C177" s="95">
        <v>53375.93</v>
      </c>
      <c r="D177" s="94">
        <v>5485.8</v>
      </c>
      <c r="E177" s="94">
        <v>58861.73</v>
      </c>
      <c r="F177" s="94">
        <v>161847.41</v>
      </c>
      <c r="G177" s="94">
        <v>220709.13</v>
      </c>
      <c r="H177" s="97">
        <v>154720.57999999999</v>
      </c>
    </row>
    <row r="178" spans="2:8" x14ac:dyDescent="0.35">
      <c r="B178" s="33">
        <v>44317</v>
      </c>
      <c r="C178" s="95">
        <v>56910.62</v>
      </c>
      <c r="D178" s="94">
        <v>6226.85</v>
      </c>
      <c r="E178" s="94">
        <v>63137.47</v>
      </c>
      <c r="F178" s="94">
        <v>162198.06</v>
      </c>
      <c r="G178" s="94">
        <v>225335.53</v>
      </c>
      <c r="H178" s="97">
        <v>155023.57999999999</v>
      </c>
    </row>
    <row r="179" spans="2:8" x14ac:dyDescent="0.35">
      <c r="B179" s="33">
        <v>44348</v>
      </c>
      <c r="C179" s="95">
        <v>52304.35</v>
      </c>
      <c r="D179" s="94">
        <v>4439.83</v>
      </c>
      <c r="E179" s="94">
        <v>56744.17</v>
      </c>
      <c r="F179" s="94">
        <v>160159.92000000001</v>
      </c>
      <c r="G179" s="94">
        <v>216904.09</v>
      </c>
      <c r="H179" s="97">
        <v>155621.22</v>
      </c>
    </row>
    <row r="180" spans="2:8" x14ac:dyDescent="0.35">
      <c r="B180" s="33">
        <v>44378</v>
      </c>
      <c r="C180" s="95">
        <v>54893.95</v>
      </c>
      <c r="D180" s="94">
        <v>4517.0200000000004</v>
      </c>
      <c r="E180" s="94">
        <v>59410.97</v>
      </c>
      <c r="F180" s="94">
        <v>177168.59</v>
      </c>
      <c r="G180" s="94">
        <v>236579.56</v>
      </c>
      <c r="H180" s="97">
        <v>164803.20000000001</v>
      </c>
    </row>
    <row r="181" spans="2:8" x14ac:dyDescent="0.35">
      <c r="B181" s="33">
        <v>44409</v>
      </c>
      <c r="C181" s="95">
        <v>55275.67</v>
      </c>
      <c r="D181" s="94">
        <v>6066.94</v>
      </c>
      <c r="E181" s="94">
        <v>61342.61</v>
      </c>
      <c r="F181" s="94">
        <v>172950.46</v>
      </c>
      <c r="G181" s="94">
        <v>234293.07</v>
      </c>
      <c r="H181" s="97">
        <v>167065.44</v>
      </c>
    </row>
    <row r="182" spans="2:8" x14ac:dyDescent="0.35">
      <c r="B182" s="33">
        <v>44440</v>
      </c>
      <c r="C182" s="95">
        <v>48736.77</v>
      </c>
      <c r="D182" s="94">
        <v>5215.7299999999996</v>
      </c>
      <c r="E182" s="94">
        <v>53952.51</v>
      </c>
      <c r="F182" s="94">
        <v>190322.95</v>
      </c>
      <c r="G182" s="94">
        <v>244275.46</v>
      </c>
      <c r="H182" s="97">
        <v>181021.8</v>
      </c>
    </row>
    <row r="183" spans="2:8" x14ac:dyDescent="0.35">
      <c r="B183" s="33">
        <v>44470</v>
      </c>
      <c r="C183" s="95">
        <v>58249.68</v>
      </c>
      <c r="D183" s="94">
        <v>6659.71</v>
      </c>
      <c r="E183" s="94">
        <v>64909.39</v>
      </c>
      <c r="F183" s="94">
        <v>187863.17</v>
      </c>
      <c r="G183" s="94">
        <v>252772.57</v>
      </c>
      <c r="H183" s="97">
        <v>180500.89</v>
      </c>
    </row>
    <row r="184" spans="2:8" x14ac:dyDescent="0.35">
      <c r="B184" s="33">
        <v>44501</v>
      </c>
      <c r="C184" s="95">
        <v>55358.7</v>
      </c>
      <c r="D184" s="94">
        <v>8847.26</v>
      </c>
      <c r="E184" s="94">
        <v>64205.96</v>
      </c>
      <c r="F184" s="94">
        <v>191812.82</v>
      </c>
      <c r="G184" s="94">
        <v>256018.78</v>
      </c>
      <c r="H184" s="97">
        <v>186968.16</v>
      </c>
    </row>
    <row r="185" spans="2:8" x14ac:dyDescent="0.35">
      <c r="B185" s="33">
        <v>44531</v>
      </c>
      <c r="C185" s="95">
        <v>57756.21</v>
      </c>
      <c r="D185" s="94">
        <v>8594.4599999999991</v>
      </c>
      <c r="E185" s="94">
        <v>66350.67</v>
      </c>
      <c r="F185" s="94">
        <v>235233.24</v>
      </c>
      <c r="G185" s="94">
        <v>301583.90999999997</v>
      </c>
      <c r="H185" s="97">
        <v>222886.14</v>
      </c>
    </row>
    <row r="186" spans="2:8" x14ac:dyDescent="0.35">
      <c r="B186" s="33">
        <v>44562</v>
      </c>
      <c r="C186" s="95">
        <v>54009.04</v>
      </c>
      <c r="D186" s="94">
        <v>6399.25</v>
      </c>
      <c r="E186" s="94">
        <v>60408.28</v>
      </c>
      <c r="F186" s="94">
        <v>194272.63</v>
      </c>
      <c r="G186" s="94">
        <v>254680.91</v>
      </c>
      <c r="H186" s="97">
        <v>154755.62</v>
      </c>
    </row>
    <row r="187" spans="2:8" x14ac:dyDescent="0.35">
      <c r="B187" s="33">
        <v>44593</v>
      </c>
      <c r="C187" s="95">
        <v>61223.1</v>
      </c>
      <c r="D187" s="94">
        <v>9069.16</v>
      </c>
      <c r="E187" s="94">
        <v>70292.259999999995</v>
      </c>
      <c r="F187" s="94">
        <v>183812.64</v>
      </c>
      <c r="G187" s="94">
        <v>254104.91</v>
      </c>
      <c r="H187" s="97">
        <v>142470.37</v>
      </c>
    </row>
    <row r="188" spans="2:8" x14ac:dyDescent="0.35">
      <c r="B188" s="33">
        <v>44621</v>
      </c>
      <c r="C188" s="95">
        <v>67475.990000000005</v>
      </c>
      <c r="D188" s="94">
        <v>9587.27</v>
      </c>
      <c r="E188" s="94">
        <v>77063.259999999995</v>
      </c>
      <c r="F188" s="94">
        <v>213516.62</v>
      </c>
      <c r="G188" s="94">
        <v>290579.88</v>
      </c>
      <c r="H188" s="97">
        <v>160416.26999999999</v>
      </c>
    </row>
    <row r="189" spans="2:8" x14ac:dyDescent="0.35">
      <c r="B189" s="33">
        <v>44652</v>
      </c>
      <c r="C189" s="95">
        <v>62535.51</v>
      </c>
      <c r="D189" s="94">
        <v>6424.16</v>
      </c>
      <c r="E189" s="94">
        <v>68959.679999999993</v>
      </c>
      <c r="F189" s="94">
        <v>195283.44</v>
      </c>
      <c r="G189" s="94">
        <v>264243.12</v>
      </c>
      <c r="H189" s="97">
        <v>136829.01999999999</v>
      </c>
    </row>
    <row r="190" spans="2:8" x14ac:dyDescent="0.35">
      <c r="B190" s="33">
        <v>44682</v>
      </c>
      <c r="C190" s="95">
        <v>70735.12</v>
      </c>
      <c r="D190" s="94">
        <v>6695.87</v>
      </c>
      <c r="E190" s="94">
        <v>77430.990000000005</v>
      </c>
      <c r="F190" s="94">
        <v>233438.35</v>
      </c>
      <c r="G190" s="94">
        <v>310869.34000000003</v>
      </c>
      <c r="H190" s="97">
        <v>158583.65</v>
      </c>
    </row>
    <row r="191" spans="2:8" x14ac:dyDescent="0.35">
      <c r="B191" s="33">
        <v>44713</v>
      </c>
      <c r="C191" s="95">
        <v>68569.27</v>
      </c>
      <c r="D191" s="94">
        <v>11297.15</v>
      </c>
      <c r="E191" s="94">
        <v>79866.429999999993</v>
      </c>
      <c r="F191" s="94">
        <v>227714.31</v>
      </c>
      <c r="G191" s="94">
        <v>307580.74</v>
      </c>
      <c r="H191" s="97">
        <v>162439.1</v>
      </c>
    </row>
    <row r="192" spans="2:8" x14ac:dyDescent="0.35">
      <c r="B192" s="33">
        <v>44743</v>
      </c>
      <c r="C192" s="95">
        <v>68021.789999999994</v>
      </c>
      <c r="D192" s="94">
        <v>7503.79</v>
      </c>
      <c r="E192" s="94">
        <v>75525.58</v>
      </c>
      <c r="F192" s="94">
        <v>212989.83</v>
      </c>
      <c r="G192" s="94">
        <v>288515.40999999997</v>
      </c>
      <c r="H192" s="97">
        <v>143962.4</v>
      </c>
    </row>
    <row r="193" spans="2:8" x14ac:dyDescent="0.35">
      <c r="B193" s="33">
        <v>44774</v>
      </c>
      <c r="C193" s="95">
        <v>62064.56</v>
      </c>
      <c r="D193" s="94">
        <v>10854.66</v>
      </c>
      <c r="E193" s="94">
        <v>72919.210000000006</v>
      </c>
      <c r="F193" s="94">
        <v>239334.93</v>
      </c>
      <c r="G193" s="94">
        <v>312254.15000000002</v>
      </c>
      <c r="H193" s="97">
        <v>155805.43</v>
      </c>
    </row>
    <row r="194" spans="2:8" x14ac:dyDescent="0.35">
      <c r="B194" s="33">
        <v>44805</v>
      </c>
      <c r="C194" s="95">
        <v>69107.95</v>
      </c>
      <c r="D194" s="94">
        <v>8973.07</v>
      </c>
      <c r="E194" s="94">
        <v>78081.02</v>
      </c>
      <c r="F194" s="94">
        <v>207630.64</v>
      </c>
      <c r="G194" s="94">
        <v>285711.65999999997</v>
      </c>
      <c r="H194" s="97">
        <v>145761.51999999999</v>
      </c>
    </row>
    <row r="195" spans="2:8" x14ac:dyDescent="0.35">
      <c r="B195" s="33">
        <v>44835</v>
      </c>
      <c r="C195" s="95">
        <v>60415.68</v>
      </c>
      <c r="D195" s="94">
        <v>7245.94</v>
      </c>
      <c r="E195" s="94">
        <v>67661.61</v>
      </c>
      <c r="F195" s="94">
        <v>188279.7</v>
      </c>
      <c r="G195" s="94">
        <v>255941.32</v>
      </c>
      <c r="H195" s="97">
        <v>129834.74</v>
      </c>
    </row>
    <row r="196" spans="2:8" x14ac:dyDescent="0.35">
      <c r="B196" s="33">
        <v>44866</v>
      </c>
      <c r="C196" s="95">
        <v>68656.3</v>
      </c>
      <c r="D196" s="94">
        <v>7591.98</v>
      </c>
      <c r="E196" s="94">
        <v>76248.31</v>
      </c>
      <c r="F196" s="94">
        <v>196865.5</v>
      </c>
      <c r="G196" s="94">
        <v>273113.8</v>
      </c>
      <c r="H196" s="97">
        <v>142869.70000000001</v>
      </c>
    </row>
    <row r="197" spans="2:8" x14ac:dyDescent="0.35">
      <c r="B197" s="33">
        <v>44896</v>
      </c>
      <c r="C197" s="95">
        <v>63815.56</v>
      </c>
      <c r="D197" s="94">
        <v>5022.1000000000004</v>
      </c>
      <c r="E197" s="94">
        <v>68837.67</v>
      </c>
      <c r="F197" s="94">
        <v>200144.63</v>
      </c>
      <c r="G197" s="94">
        <v>268982.3</v>
      </c>
      <c r="H197" s="97">
        <v>142018.98000000001</v>
      </c>
    </row>
    <row r="198" spans="2:8" x14ac:dyDescent="0.35">
      <c r="B198" s="33">
        <v>44927</v>
      </c>
      <c r="C198" s="95">
        <v>65289.36</v>
      </c>
      <c r="D198" s="94">
        <v>7638.61</v>
      </c>
      <c r="E198" s="94">
        <v>72927.97</v>
      </c>
      <c r="F198" s="94">
        <v>194552.08</v>
      </c>
      <c r="G198" s="94">
        <v>267480.05</v>
      </c>
      <c r="H198" s="97">
        <v>141201.73000000001</v>
      </c>
    </row>
    <row r="199" spans="2:8" x14ac:dyDescent="0.35">
      <c r="B199" s="33">
        <v>44958</v>
      </c>
      <c r="C199" s="95">
        <v>71471.8</v>
      </c>
      <c r="D199" s="94">
        <v>5178.72</v>
      </c>
      <c r="E199" s="94">
        <v>76650.53</v>
      </c>
      <c r="F199" s="94">
        <v>175293.05</v>
      </c>
      <c r="G199" s="94">
        <v>251943.58</v>
      </c>
      <c r="H199" s="97">
        <v>126587.44</v>
      </c>
    </row>
    <row r="200" spans="2:8" x14ac:dyDescent="0.35">
      <c r="B200" s="33">
        <v>44986</v>
      </c>
      <c r="C200" s="95">
        <v>75741.2</v>
      </c>
      <c r="D200" s="94">
        <v>5996.49</v>
      </c>
      <c r="E200" s="94">
        <v>81737.7</v>
      </c>
      <c r="F200" s="94">
        <v>216425.53</v>
      </c>
      <c r="G200" s="94">
        <v>298163.23</v>
      </c>
      <c r="H200" s="97">
        <v>165257.82999999999</v>
      </c>
    </row>
    <row r="201" spans="2:8" x14ac:dyDescent="0.35">
      <c r="B201" s="33">
        <v>45017</v>
      </c>
      <c r="C201" s="95">
        <v>67024.45</v>
      </c>
      <c r="D201" s="94">
        <v>3675.66</v>
      </c>
      <c r="E201" s="94">
        <v>70700.11</v>
      </c>
      <c r="F201" s="94">
        <v>208293.45</v>
      </c>
      <c r="G201" s="94">
        <v>278993.56</v>
      </c>
      <c r="H201" s="97">
        <v>142737.74</v>
      </c>
    </row>
    <row r="202" spans="2:8" x14ac:dyDescent="0.35">
      <c r="B202" s="33">
        <v>45047</v>
      </c>
      <c r="C202" s="95">
        <v>80071.88</v>
      </c>
      <c r="D202" s="94">
        <v>11281.87</v>
      </c>
      <c r="E202" s="94">
        <v>91353.76</v>
      </c>
      <c r="F202" s="94">
        <v>230279.22</v>
      </c>
      <c r="G202" s="94">
        <v>321632.98</v>
      </c>
      <c r="H202" s="97">
        <v>168183.44</v>
      </c>
    </row>
    <row r="203" spans="2:8" x14ac:dyDescent="0.35">
      <c r="B203" s="33">
        <v>45078</v>
      </c>
      <c r="C203" s="95">
        <v>77701.990000000005</v>
      </c>
      <c r="D203" s="94">
        <v>8126.7</v>
      </c>
      <c r="E203" s="94">
        <v>85828.68</v>
      </c>
      <c r="F203" s="94">
        <v>210166.39</v>
      </c>
      <c r="G203" s="94">
        <v>295995.07</v>
      </c>
      <c r="H203" s="97">
        <v>159333.93</v>
      </c>
    </row>
    <row r="204" spans="2:8" x14ac:dyDescent="0.35">
      <c r="B204" s="33">
        <v>45108</v>
      </c>
      <c r="C204" s="95">
        <v>74673.56</v>
      </c>
      <c r="D204" s="94">
        <v>7909.43</v>
      </c>
      <c r="E204" s="94">
        <v>82582.990000000005</v>
      </c>
      <c r="F204" s="94">
        <v>191691.69</v>
      </c>
      <c r="G204" s="94">
        <v>274274.69</v>
      </c>
      <c r="H204" s="97">
        <v>140533.63</v>
      </c>
    </row>
    <row r="205" spans="2:8" x14ac:dyDescent="0.35">
      <c r="B205" s="33">
        <v>45139</v>
      </c>
      <c r="C205" s="95">
        <v>82881.06</v>
      </c>
      <c r="D205" s="94">
        <v>11388.55</v>
      </c>
      <c r="E205" s="94">
        <v>94269.61</v>
      </c>
      <c r="F205" s="94">
        <v>238822.64</v>
      </c>
      <c r="G205" s="94">
        <v>333092.24</v>
      </c>
      <c r="H205" s="97">
        <v>166184.56</v>
      </c>
    </row>
    <row r="206" spans="2:8" x14ac:dyDescent="0.35">
      <c r="B206" s="33">
        <v>45170</v>
      </c>
      <c r="C206" s="95">
        <v>74273.37</v>
      </c>
      <c r="D206" s="94">
        <v>16914.810000000001</v>
      </c>
      <c r="E206" s="94">
        <v>91188.18</v>
      </c>
      <c r="F206" s="94">
        <v>215596.83</v>
      </c>
      <c r="G206" s="94">
        <v>306785</v>
      </c>
      <c r="H206" s="97">
        <v>161349.67000000001</v>
      </c>
    </row>
    <row r="207" spans="2:8" x14ac:dyDescent="0.35">
      <c r="B207" s="33">
        <v>45200</v>
      </c>
      <c r="C207" s="95">
        <v>74825.25</v>
      </c>
      <c r="D207" s="94">
        <v>9351.02</v>
      </c>
      <c r="E207" s="94">
        <v>84176.27</v>
      </c>
      <c r="F207" s="94">
        <v>239719.25</v>
      </c>
      <c r="G207" s="94">
        <v>323895.53000000003</v>
      </c>
      <c r="H207" s="97">
        <v>167361.10999999999</v>
      </c>
    </row>
    <row r="208" spans="2:8" x14ac:dyDescent="0.35">
      <c r="B208" s="33">
        <v>45231</v>
      </c>
      <c r="C208" s="95">
        <v>79734.509999999995</v>
      </c>
      <c r="D208" s="94">
        <v>9242.48</v>
      </c>
      <c r="E208" s="94">
        <v>88976.99</v>
      </c>
      <c r="F208" s="94">
        <v>259111.12</v>
      </c>
      <c r="G208" s="94">
        <v>348088.1</v>
      </c>
      <c r="H208" s="97">
        <v>182720.04</v>
      </c>
    </row>
    <row r="209" spans="2:8" x14ac:dyDescent="0.35">
      <c r="B209" s="33">
        <v>45261</v>
      </c>
      <c r="C209" s="95">
        <v>77463.740000000005</v>
      </c>
      <c r="D209" s="94">
        <v>6775.04</v>
      </c>
      <c r="E209" s="94">
        <v>84238.78</v>
      </c>
      <c r="F209" s="94">
        <v>219664.19</v>
      </c>
      <c r="G209" s="94">
        <v>303902.98</v>
      </c>
      <c r="H209" s="97">
        <v>156928.18</v>
      </c>
    </row>
    <row r="210" spans="2:8" x14ac:dyDescent="0.35">
      <c r="B210" s="33">
        <v>45292</v>
      </c>
      <c r="C210" s="95">
        <v>79668.56</v>
      </c>
      <c r="D210" s="94">
        <v>12007.06</v>
      </c>
      <c r="E210" s="94">
        <v>91675.62</v>
      </c>
      <c r="F210" s="94">
        <v>244573.36</v>
      </c>
      <c r="G210" s="94">
        <v>336248.98</v>
      </c>
      <c r="H210" s="97">
        <v>176246.21</v>
      </c>
    </row>
    <row r="211" spans="2:8" x14ac:dyDescent="0.35">
      <c r="B211" s="33">
        <v>45323</v>
      </c>
      <c r="C211" s="142">
        <v>89806.12</v>
      </c>
      <c r="D211" s="142">
        <v>17616.68</v>
      </c>
      <c r="E211" s="142">
        <v>107422.81</v>
      </c>
      <c r="F211" s="142">
        <v>226412.35</v>
      </c>
      <c r="G211" s="142">
        <v>333835.15999999997</v>
      </c>
      <c r="H211" s="142">
        <v>161567.92000000001</v>
      </c>
    </row>
    <row r="212" spans="2:8" x14ac:dyDescent="0.35">
      <c r="B212" s="33">
        <v>45352</v>
      </c>
      <c r="C212" s="143">
        <v>84404.65</v>
      </c>
      <c r="D212" s="143">
        <v>13528.72</v>
      </c>
      <c r="E212" s="143">
        <v>97933.36</v>
      </c>
      <c r="F212" s="143">
        <v>208228.95</v>
      </c>
      <c r="G212" s="143">
        <v>306162.32</v>
      </c>
      <c r="H212" s="143">
        <v>151579.56</v>
      </c>
    </row>
    <row r="213" spans="2:8" x14ac:dyDescent="0.35">
      <c r="B213" s="33">
        <v>45383</v>
      </c>
      <c r="C213" s="143">
        <v>74711.210000000006</v>
      </c>
      <c r="D213" s="143">
        <v>18211.919999999998</v>
      </c>
      <c r="E213" s="143">
        <v>92923.13</v>
      </c>
      <c r="F213" s="143">
        <v>236210.91</v>
      </c>
      <c r="G213" s="143">
        <v>329134.03999999998</v>
      </c>
      <c r="H213" s="143">
        <v>173826.77</v>
      </c>
    </row>
    <row r="214" spans="2:8" x14ac:dyDescent="0.35">
      <c r="B214" s="33">
        <v>45413</v>
      </c>
      <c r="C214" s="143">
        <v>75452.77</v>
      </c>
      <c r="D214" s="143">
        <v>19029.650000000001</v>
      </c>
      <c r="E214" s="143">
        <v>94482.42</v>
      </c>
      <c r="F214" s="143">
        <v>212570.44</v>
      </c>
      <c r="G214" s="143">
        <v>307052.86</v>
      </c>
      <c r="H214" s="143">
        <v>160349.70000000001</v>
      </c>
    </row>
    <row r="215" spans="2:8" x14ac:dyDescent="0.35">
      <c r="B215" s="33">
        <v>45444</v>
      </c>
      <c r="C215" s="143">
        <v>71945.710000000006</v>
      </c>
      <c r="D215" s="143">
        <v>15208.34</v>
      </c>
      <c r="E215" s="143">
        <v>87154.05</v>
      </c>
      <c r="F215" s="143">
        <v>208614.25</v>
      </c>
      <c r="G215" s="143">
        <v>295768.31</v>
      </c>
      <c r="H215" s="143">
        <v>149836.22</v>
      </c>
    </row>
    <row r="216" spans="2:8" x14ac:dyDescent="0.35">
      <c r="B216" s="33">
        <v>45474</v>
      </c>
      <c r="C216" s="143">
        <v>80488.5</v>
      </c>
      <c r="D216" s="143">
        <v>16553.689999999999</v>
      </c>
      <c r="E216" s="143">
        <v>97042.19</v>
      </c>
      <c r="F216" s="143">
        <v>226054.51</v>
      </c>
      <c r="G216" s="143">
        <v>323096.7</v>
      </c>
      <c r="H216" s="143">
        <v>167210.79</v>
      </c>
    </row>
    <row r="217" spans="2:8" x14ac:dyDescent="0.35">
      <c r="B217" s="33">
        <v>45505</v>
      </c>
      <c r="C217" s="143">
        <v>79637.119999999995</v>
      </c>
      <c r="D217" s="143">
        <v>13722.03</v>
      </c>
      <c r="E217" s="143">
        <v>93359.14</v>
      </c>
      <c r="F217" s="143">
        <v>226509.4</v>
      </c>
      <c r="G217" s="143">
        <v>319868.53999999998</v>
      </c>
      <c r="H217" s="143">
        <v>170728.1</v>
      </c>
    </row>
    <row r="218" spans="2:8" x14ac:dyDescent="0.35">
      <c r="B218" s="33">
        <v>45536</v>
      </c>
      <c r="C218" s="143">
        <v>76599.240000000005</v>
      </c>
      <c r="D218" s="143">
        <v>14426.92</v>
      </c>
      <c r="E218" s="143">
        <v>91026.16</v>
      </c>
      <c r="F218" s="143">
        <v>219412.67</v>
      </c>
      <c r="G218" s="143">
        <v>310438.83</v>
      </c>
      <c r="H218" s="143">
        <v>169409.66</v>
      </c>
    </row>
    <row r="219" spans="2:8" x14ac:dyDescent="0.35">
      <c r="B219" s="33">
        <v>45566</v>
      </c>
      <c r="C219" s="142">
        <v>69935.66</v>
      </c>
      <c r="D219" s="142">
        <v>18395.68</v>
      </c>
      <c r="E219" s="142">
        <v>88331.34</v>
      </c>
      <c r="F219" s="142">
        <v>244515.12</v>
      </c>
      <c r="G219" s="142">
        <v>332846.46000000002</v>
      </c>
      <c r="H219" s="142">
        <v>186280.52</v>
      </c>
    </row>
    <row r="220" spans="2:8" x14ac:dyDescent="0.35">
      <c r="B220" s="33">
        <v>45597</v>
      </c>
      <c r="C220" s="142">
        <v>76143.42</v>
      </c>
      <c r="D220" s="142">
        <v>9777.19</v>
      </c>
      <c r="E220" s="142">
        <v>85920.62</v>
      </c>
      <c r="F220" s="142">
        <v>227665.15</v>
      </c>
      <c r="G220" s="142">
        <v>313585.77</v>
      </c>
      <c r="H220" s="142">
        <v>174251.46</v>
      </c>
    </row>
    <row r="221" spans="2:8" x14ac:dyDescent="0.35">
      <c r="B221" s="33">
        <v>45627</v>
      </c>
      <c r="C221" s="142">
        <v>69428.070000000007</v>
      </c>
      <c r="D221" s="142">
        <v>11249.81</v>
      </c>
      <c r="E221" s="142">
        <v>80677.88</v>
      </c>
      <c r="F221" s="142">
        <v>217997.8</v>
      </c>
      <c r="G221" s="142">
        <v>298675.68</v>
      </c>
      <c r="H221" s="142">
        <v>160798.34</v>
      </c>
    </row>
    <row r="222" spans="2:8" x14ac:dyDescent="0.35">
      <c r="B222" s="33">
        <v>45658</v>
      </c>
      <c r="C222" s="142">
        <v>75499.100000000006</v>
      </c>
      <c r="D222" s="142">
        <v>11684.03</v>
      </c>
      <c r="E222" s="142">
        <v>87183.13</v>
      </c>
      <c r="F222" s="142">
        <v>229609.47</v>
      </c>
      <c r="G222" s="142">
        <v>316792.59000000003</v>
      </c>
      <c r="H222" s="142">
        <v>159414.04999999999</v>
      </c>
    </row>
    <row r="223" spans="2:8" x14ac:dyDescent="0.35">
      <c r="B223" s="33">
        <v>45689</v>
      </c>
      <c r="C223" s="142">
        <v>80078.5</v>
      </c>
      <c r="D223" s="142">
        <v>12872.93</v>
      </c>
      <c r="E223" s="142">
        <v>92951.42</v>
      </c>
      <c r="F223" s="142">
        <v>202901.11</v>
      </c>
      <c r="G223" s="142">
        <v>295852.53000000003</v>
      </c>
      <c r="H223" s="142">
        <v>152446.65</v>
      </c>
    </row>
    <row r="224" spans="2:8" x14ac:dyDescent="0.35">
      <c r="B224" s="33">
        <v>45717</v>
      </c>
      <c r="C224" s="142">
        <v>81685.710000000006</v>
      </c>
      <c r="D224" s="142">
        <v>13637.32</v>
      </c>
      <c r="E224" s="142">
        <v>95323.04</v>
      </c>
      <c r="F224" s="142">
        <v>215066.61</v>
      </c>
      <c r="G224" s="142">
        <v>310389.65000000002</v>
      </c>
      <c r="H224" s="142">
        <v>159591.69</v>
      </c>
    </row>
    <row r="225" spans="2:8" x14ac:dyDescent="0.35">
      <c r="B225" s="33">
        <v>45748</v>
      </c>
      <c r="C225" s="142">
        <v>88915.86</v>
      </c>
      <c r="D225" s="142">
        <v>9517.11</v>
      </c>
      <c r="E225" s="142">
        <v>98432.98</v>
      </c>
      <c r="F225" s="142">
        <v>234583.27</v>
      </c>
      <c r="G225" s="142">
        <v>333016.24</v>
      </c>
      <c r="H225" s="142">
        <v>173201.42</v>
      </c>
    </row>
    <row r="226" spans="2:8" x14ac:dyDescent="0.35">
      <c r="B226" s="33">
        <v>45778</v>
      </c>
      <c r="C226" s="142">
        <v>85506.01</v>
      </c>
      <c r="D226" s="142">
        <v>9472.4699999999993</v>
      </c>
      <c r="E226" s="142">
        <v>94978.48</v>
      </c>
      <c r="F226" s="142">
        <v>227845.8</v>
      </c>
      <c r="G226" s="142">
        <v>322824.28000000003</v>
      </c>
      <c r="H226" s="142">
        <v>172471.29</v>
      </c>
    </row>
    <row r="227" spans="2:8" x14ac:dyDescent="0.35">
      <c r="B227" s="33">
        <v>45809</v>
      </c>
      <c r="C227" s="142">
        <v>75937.14</v>
      </c>
      <c r="D227" s="142">
        <v>9276.93</v>
      </c>
      <c r="E227" s="142">
        <v>85214.07</v>
      </c>
      <c r="F227" s="142">
        <v>227987.21</v>
      </c>
      <c r="G227" s="142">
        <v>313201.28000000003</v>
      </c>
      <c r="H227" s="142">
        <v>171728.4</v>
      </c>
    </row>
    <row r="228" spans="2:8" x14ac:dyDescent="0.35">
      <c r="B228" s="33">
        <v>45839</v>
      </c>
      <c r="C228" s="142">
        <v>81826.880000000005</v>
      </c>
      <c r="D228" s="142">
        <v>15299.17</v>
      </c>
      <c r="E228" s="142">
        <v>97126.05</v>
      </c>
      <c r="F228" s="142">
        <v>252502.55</v>
      </c>
      <c r="G228" s="142">
        <v>349628.6</v>
      </c>
      <c r="H228" s="142">
        <v>193391.99</v>
      </c>
    </row>
    <row r="229" spans="2:8" x14ac:dyDescent="0.35">
      <c r="B229" s="33">
        <v>45870</v>
      </c>
      <c r="C229" s="142">
        <v>75158.42</v>
      </c>
      <c r="D229" s="142">
        <v>18829.349999999999</v>
      </c>
      <c r="E229" s="142">
        <v>93987.76</v>
      </c>
      <c r="F229" s="142">
        <v>219357.43</v>
      </c>
      <c r="G229" s="142">
        <v>313345.2</v>
      </c>
      <c r="H229" s="142">
        <v>166292.17000000001</v>
      </c>
    </row>
    <row r="230" spans="2:8" x14ac:dyDescent="0.35">
      <c r="B230" s="33">
        <v>45901</v>
      </c>
      <c r="C230" s="142">
        <v>81661.48</v>
      </c>
      <c r="D230" s="142">
        <v>14982.99</v>
      </c>
      <c r="E230" s="142">
        <v>96644.47</v>
      </c>
      <c r="F230" s="142">
        <v>248515.86</v>
      </c>
      <c r="G230" s="142">
        <v>345160.33</v>
      </c>
      <c r="H230" s="142">
        <v>188927.03</v>
      </c>
    </row>
    <row r="231" spans="2:8" x14ac:dyDescent="0.35">
      <c r="B231" s="33">
        <v>45931</v>
      </c>
      <c r="C231" s="142">
        <v>76098.7</v>
      </c>
      <c r="D231" s="142">
        <v>11709.29</v>
      </c>
      <c r="E231" s="142">
        <v>87808</v>
      </c>
      <c r="F231" s="142">
        <v>254008.15</v>
      </c>
      <c r="G231" s="142">
        <v>341816.14</v>
      </c>
      <c r="H231" s="142">
        <v>185980.82</v>
      </c>
    </row>
    <row r="232" spans="2:8" x14ac:dyDescent="0.35">
      <c r="B232" s="33">
        <v>45962</v>
      </c>
      <c r="C232" s="142">
        <v>77869.710000000006</v>
      </c>
      <c r="D232" s="142">
        <v>12297.36</v>
      </c>
      <c r="E232" s="142">
        <v>90167.07</v>
      </c>
      <c r="F232" s="142">
        <v>236485.59</v>
      </c>
      <c r="G232" s="142">
        <v>326652.65999999997</v>
      </c>
      <c r="H232" s="142">
        <v>177155.17</v>
      </c>
    </row>
    <row r="233" spans="2:8" x14ac:dyDescent="0.35">
      <c r="B233" s="33">
        <v>45992</v>
      </c>
      <c r="C233" s="142">
        <v>80893.399999999994</v>
      </c>
      <c r="D233" s="142">
        <v>11417.29</v>
      </c>
      <c r="E233" s="142">
        <v>92310.69</v>
      </c>
      <c r="F233" s="142">
        <v>245808.84</v>
      </c>
      <c r="G233" s="142">
        <v>338119.53</v>
      </c>
      <c r="H233" s="142">
        <v>185428.73</v>
      </c>
    </row>
    <row r="234" spans="2:8" x14ac:dyDescent="0.35">
      <c r="B234" s="33"/>
      <c r="C234" s="142"/>
      <c r="D234" s="142"/>
      <c r="E234" s="142"/>
      <c r="F234" s="142"/>
      <c r="G234" s="142"/>
      <c r="H234" s="142"/>
    </row>
    <row r="235" spans="2:8" x14ac:dyDescent="0.35">
      <c r="B235" s="33"/>
      <c r="C235" s="142"/>
      <c r="D235" s="142"/>
      <c r="E235" s="142"/>
      <c r="F235" s="142"/>
      <c r="G235" s="142"/>
      <c r="H235" s="142"/>
    </row>
    <row r="236" spans="2:8" x14ac:dyDescent="0.35">
      <c r="B236" s="33"/>
      <c r="C236" s="142"/>
      <c r="D236" s="142"/>
      <c r="E236" s="142"/>
      <c r="F236" s="142"/>
      <c r="G236" s="142"/>
      <c r="H236" s="142"/>
    </row>
    <row r="237" spans="2:8" x14ac:dyDescent="0.35">
      <c r="B237" s="33"/>
      <c r="C237" s="142"/>
      <c r="D237" s="142"/>
      <c r="E237" s="142"/>
      <c r="F237" s="142"/>
      <c r="G237" s="142"/>
      <c r="H237" s="142"/>
    </row>
  </sheetData>
  <autoFilter ref="C3:H210" xr:uid="{DB834F19-09A9-414C-9FC3-33438B8ACE9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F2D2-D846-438E-9C6A-A69964CABB59}">
  <dimension ref="B3:F125"/>
  <sheetViews>
    <sheetView topLeftCell="A103" workbookViewId="0">
      <selection activeCell="B112" sqref="B112:B123"/>
    </sheetView>
  </sheetViews>
  <sheetFormatPr defaultRowHeight="11.5" x14ac:dyDescent="0.25"/>
  <cols>
    <col min="1" max="2" width="8.7265625" style="1"/>
    <col min="3" max="3" width="11.54296875" style="1" bestFit="1" customWidth="1"/>
    <col min="4" max="4" width="12.08984375" style="1" bestFit="1" customWidth="1"/>
    <col min="5" max="5" width="14.6328125" style="1" bestFit="1" customWidth="1"/>
    <col min="6" max="6" width="13.54296875" style="1" bestFit="1" customWidth="1"/>
    <col min="7" max="16384" width="8.7265625" style="1"/>
  </cols>
  <sheetData>
    <row r="3" spans="2:6" ht="34.5" x14ac:dyDescent="0.25">
      <c r="B3" s="106" t="s">
        <v>142</v>
      </c>
      <c r="C3" s="104" t="s">
        <v>92</v>
      </c>
      <c r="D3" s="104" t="s">
        <v>143</v>
      </c>
      <c r="E3" s="104" t="s">
        <v>144</v>
      </c>
      <c r="F3" s="105" t="s">
        <v>145</v>
      </c>
    </row>
    <row r="4" spans="2:6" x14ac:dyDescent="0.25">
      <c r="B4" s="107">
        <v>42370</v>
      </c>
      <c r="C4" s="67">
        <v>146710</v>
      </c>
      <c r="D4" s="9">
        <v>29.1</v>
      </c>
      <c r="E4" s="9">
        <v>108.13</v>
      </c>
      <c r="F4" s="35">
        <v>243.37</v>
      </c>
    </row>
    <row r="5" spans="2:6" x14ac:dyDescent="0.25">
      <c r="B5" s="107">
        <v>42401</v>
      </c>
      <c r="C5" s="67">
        <v>148982</v>
      </c>
      <c r="D5" s="9">
        <v>29.49</v>
      </c>
      <c r="E5" s="9">
        <v>114.14</v>
      </c>
      <c r="F5" s="35">
        <v>257.19</v>
      </c>
    </row>
    <row r="6" spans="2:6" x14ac:dyDescent="0.25">
      <c r="B6" s="107">
        <v>42430</v>
      </c>
      <c r="C6" s="67">
        <v>150987</v>
      </c>
      <c r="D6" s="9">
        <v>30.7</v>
      </c>
      <c r="E6" s="9">
        <v>121.72</v>
      </c>
      <c r="F6" s="35">
        <v>273.58999999999997</v>
      </c>
    </row>
    <row r="7" spans="2:6" x14ac:dyDescent="0.25">
      <c r="B7" s="107">
        <v>42461</v>
      </c>
      <c r="C7" s="67">
        <v>153762</v>
      </c>
      <c r="D7" s="9">
        <v>31.44</v>
      </c>
      <c r="E7" s="9">
        <v>120.23</v>
      </c>
      <c r="F7" s="35">
        <v>269.82</v>
      </c>
    </row>
    <row r="8" spans="2:6" x14ac:dyDescent="0.25">
      <c r="B8" s="107">
        <v>42491</v>
      </c>
      <c r="C8" s="67">
        <v>156349</v>
      </c>
      <c r="D8" s="9">
        <v>31.3</v>
      </c>
      <c r="E8" s="9">
        <v>122.55</v>
      </c>
      <c r="F8" s="35">
        <v>277.94</v>
      </c>
    </row>
    <row r="9" spans="2:6" x14ac:dyDescent="0.25">
      <c r="B9" s="107">
        <v>42522</v>
      </c>
      <c r="C9" s="67">
        <v>162465</v>
      </c>
      <c r="D9" s="9">
        <v>31.39</v>
      </c>
      <c r="E9" s="9">
        <v>121.81</v>
      </c>
      <c r="F9" s="35">
        <v>270.97000000000003</v>
      </c>
    </row>
    <row r="10" spans="2:6" x14ac:dyDescent="0.25">
      <c r="B10" s="107">
        <v>42552</v>
      </c>
      <c r="C10" s="67">
        <v>167072</v>
      </c>
      <c r="D10" s="9">
        <v>32.340000000000003</v>
      </c>
      <c r="E10" s="9">
        <v>127.04</v>
      </c>
      <c r="F10" s="35">
        <v>281.85000000000002</v>
      </c>
    </row>
    <row r="11" spans="2:6" x14ac:dyDescent="0.25">
      <c r="B11" s="107">
        <v>42583</v>
      </c>
      <c r="C11" s="67">
        <v>173774</v>
      </c>
      <c r="D11" s="9">
        <v>32.76</v>
      </c>
      <c r="E11" s="9">
        <v>131.46</v>
      </c>
      <c r="F11" s="35">
        <v>296.91000000000003</v>
      </c>
    </row>
    <row r="12" spans="2:6" x14ac:dyDescent="0.25">
      <c r="B12" s="107">
        <v>42614</v>
      </c>
      <c r="C12" s="67">
        <v>173731</v>
      </c>
      <c r="D12" s="9">
        <v>33.44</v>
      </c>
      <c r="E12" s="9">
        <v>130.69999999999999</v>
      </c>
      <c r="F12" s="35">
        <v>283.85000000000002</v>
      </c>
    </row>
    <row r="13" spans="2:6" x14ac:dyDescent="0.25">
      <c r="B13" s="107">
        <v>42644</v>
      </c>
      <c r="C13" s="67">
        <v>181456</v>
      </c>
      <c r="D13" s="9">
        <v>34.04</v>
      </c>
      <c r="E13" s="9">
        <v>141.41</v>
      </c>
      <c r="F13" s="35">
        <v>292.08999999999997</v>
      </c>
    </row>
    <row r="14" spans="2:6" x14ac:dyDescent="0.25">
      <c r="B14" s="107">
        <v>42675</v>
      </c>
      <c r="C14" s="67">
        <v>162441</v>
      </c>
      <c r="D14" s="9">
        <v>34.28</v>
      </c>
      <c r="E14" s="9">
        <v>140.78</v>
      </c>
      <c r="F14" s="35">
        <v>291.23</v>
      </c>
    </row>
    <row r="15" spans="2:6" x14ac:dyDescent="0.25">
      <c r="B15" s="107">
        <v>42705</v>
      </c>
      <c r="C15" s="67">
        <v>165908</v>
      </c>
      <c r="D15" s="9">
        <v>34.96</v>
      </c>
      <c r="E15" s="9">
        <v>146.19999999999999</v>
      </c>
      <c r="F15" s="35">
        <v>316.77</v>
      </c>
    </row>
    <row r="16" spans="2:6" x14ac:dyDescent="0.25">
      <c r="B16" s="107">
        <v>42736</v>
      </c>
      <c r="C16" s="67">
        <v>152547</v>
      </c>
      <c r="D16" s="9">
        <v>33.340000000000003</v>
      </c>
      <c r="E16" s="9">
        <v>122.03</v>
      </c>
      <c r="F16" s="35">
        <v>299.49</v>
      </c>
    </row>
    <row r="17" spans="2:6" x14ac:dyDescent="0.25">
      <c r="B17" s="107">
        <v>42767</v>
      </c>
      <c r="C17" s="67">
        <v>154908</v>
      </c>
      <c r="D17" s="9">
        <v>33.29</v>
      </c>
      <c r="E17" s="9">
        <v>117.5</v>
      </c>
      <c r="F17" s="35">
        <v>279.39</v>
      </c>
    </row>
    <row r="18" spans="2:6" x14ac:dyDescent="0.25">
      <c r="B18" s="107">
        <v>42795</v>
      </c>
      <c r="C18" s="67">
        <v>157855</v>
      </c>
      <c r="D18" s="9">
        <v>33.92</v>
      </c>
      <c r="E18" s="9">
        <v>133.34</v>
      </c>
      <c r="F18" s="35">
        <v>320.18</v>
      </c>
    </row>
    <row r="19" spans="2:6" x14ac:dyDescent="0.25">
      <c r="B19" s="107">
        <v>42826</v>
      </c>
      <c r="C19" s="67">
        <v>160076</v>
      </c>
      <c r="D19" s="9">
        <v>34.29</v>
      </c>
      <c r="E19" s="9">
        <v>128.88999999999999</v>
      </c>
      <c r="F19" s="35">
        <v>297.44</v>
      </c>
    </row>
    <row r="20" spans="2:6" x14ac:dyDescent="0.25">
      <c r="B20" s="107">
        <v>42856</v>
      </c>
      <c r="C20" s="67">
        <v>164674</v>
      </c>
      <c r="D20" s="9">
        <v>34.21</v>
      </c>
      <c r="E20" s="9">
        <v>132.46</v>
      </c>
      <c r="F20" s="35">
        <v>315.45</v>
      </c>
    </row>
    <row r="21" spans="2:6" x14ac:dyDescent="0.25">
      <c r="B21" s="107">
        <v>42887</v>
      </c>
      <c r="C21" s="67">
        <v>165109</v>
      </c>
      <c r="D21" s="9">
        <v>34.18</v>
      </c>
      <c r="E21" s="9">
        <v>125.9</v>
      </c>
      <c r="F21" s="35">
        <v>299.79000000000002</v>
      </c>
    </row>
    <row r="22" spans="2:6" x14ac:dyDescent="0.25">
      <c r="B22" s="107">
        <v>42917</v>
      </c>
      <c r="C22" s="67">
        <v>169480</v>
      </c>
      <c r="D22" s="9">
        <v>34.58</v>
      </c>
      <c r="E22" s="9">
        <v>128.11000000000001</v>
      </c>
      <c r="F22" s="35">
        <v>308.89</v>
      </c>
    </row>
    <row r="23" spans="2:6" x14ac:dyDescent="0.25">
      <c r="B23" s="107">
        <v>42948</v>
      </c>
      <c r="C23" s="67">
        <v>167353</v>
      </c>
      <c r="D23" s="9">
        <v>35.33</v>
      </c>
      <c r="E23" s="9">
        <v>120.65</v>
      </c>
      <c r="F23" s="35">
        <v>286.33999999999997</v>
      </c>
    </row>
    <row r="24" spans="2:6" x14ac:dyDescent="0.25">
      <c r="B24" s="107">
        <v>42979</v>
      </c>
      <c r="C24" s="67">
        <v>167775</v>
      </c>
      <c r="D24" s="9">
        <v>35.54</v>
      </c>
      <c r="E24" s="9">
        <v>128.46</v>
      </c>
      <c r="F24" s="35">
        <v>300.92</v>
      </c>
    </row>
    <row r="25" spans="2:6" x14ac:dyDescent="0.25">
      <c r="B25" s="107">
        <v>43009</v>
      </c>
      <c r="C25" s="67">
        <v>170389</v>
      </c>
      <c r="D25" s="9">
        <v>36</v>
      </c>
      <c r="E25" s="9">
        <v>134.19999999999999</v>
      </c>
      <c r="F25" s="35">
        <v>299.02</v>
      </c>
    </row>
    <row r="26" spans="2:6" x14ac:dyDescent="0.25">
      <c r="B26" s="107">
        <v>43040</v>
      </c>
      <c r="C26" s="67">
        <v>176986</v>
      </c>
      <c r="D26" s="9">
        <v>36.39</v>
      </c>
      <c r="E26" s="9">
        <v>131.74</v>
      </c>
      <c r="F26" s="35">
        <v>298.95999999999998</v>
      </c>
    </row>
    <row r="27" spans="2:6" x14ac:dyDescent="0.25">
      <c r="B27" s="107">
        <v>43070</v>
      </c>
      <c r="C27" s="67">
        <v>182472</v>
      </c>
      <c r="D27" s="9">
        <v>37.39</v>
      </c>
      <c r="E27" s="9">
        <v>139.93</v>
      </c>
      <c r="F27" s="35">
        <v>332.62</v>
      </c>
    </row>
    <row r="28" spans="2:6" x14ac:dyDescent="0.25">
      <c r="B28" s="107">
        <v>43101</v>
      </c>
      <c r="C28" s="67">
        <v>188029</v>
      </c>
      <c r="D28" s="9">
        <v>37.840000000000003</v>
      </c>
      <c r="E28" s="9">
        <v>136.66</v>
      </c>
      <c r="F28" s="35">
        <v>322.98</v>
      </c>
    </row>
    <row r="29" spans="2:6" x14ac:dyDescent="0.25">
      <c r="B29" s="107">
        <v>43132</v>
      </c>
      <c r="C29" s="67">
        <v>192117</v>
      </c>
      <c r="D29" s="9">
        <v>38.42</v>
      </c>
      <c r="E29" s="9">
        <v>132.30000000000001</v>
      </c>
      <c r="F29" s="35">
        <v>300.85000000000002</v>
      </c>
    </row>
    <row r="30" spans="2:6" x14ac:dyDescent="0.25">
      <c r="B30" s="107">
        <v>43160</v>
      </c>
      <c r="C30" s="67">
        <v>196002</v>
      </c>
      <c r="D30" s="9">
        <v>39.340000000000003</v>
      </c>
      <c r="E30" s="9">
        <v>147.52000000000001</v>
      </c>
      <c r="F30" s="35">
        <v>337.11</v>
      </c>
    </row>
    <row r="31" spans="2:6" x14ac:dyDescent="0.25">
      <c r="B31" s="107">
        <v>43191</v>
      </c>
      <c r="C31" s="67">
        <v>201795</v>
      </c>
      <c r="D31" s="9">
        <v>40.29</v>
      </c>
      <c r="E31" s="9">
        <v>142.06</v>
      </c>
      <c r="F31" s="35">
        <v>313</v>
      </c>
    </row>
    <row r="32" spans="2:6" x14ac:dyDescent="0.25">
      <c r="B32" s="107">
        <v>43221</v>
      </c>
      <c r="C32" s="67">
        <v>202387</v>
      </c>
      <c r="D32" s="9">
        <v>41.73</v>
      </c>
      <c r="E32" s="9">
        <v>140.94999999999999</v>
      </c>
      <c r="F32" s="35">
        <v>328.97</v>
      </c>
    </row>
    <row r="33" spans="2:6" x14ac:dyDescent="0.25">
      <c r="B33" s="107">
        <v>43252</v>
      </c>
      <c r="C33" s="67">
        <v>197286</v>
      </c>
      <c r="D33" s="9">
        <v>42.58</v>
      </c>
      <c r="E33" s="9">
        <v>137.41</v>
      </c>
      <c r="F33" s="35">
        <v>317.67</v>
      </c>
    </row>
    <row r="34" spans="2:6" x14ac:dyDescent="0.25">
      <c r="B34" s="107">
        <v>43282</v>
      </c>
      <c r="C34" s="67">
        <v>200227</v>
      </c>
      <c r="D34" s="9">
        <v>42.61</v>
      </c>
      <c r="E34" s="9">
        <v>143.09</v>
      </c>
      <c r="F34" s="35">
        <v>332.35</v>
      </c>
    </row>
    <row r="35" spans="2:6" x14ac:dyDescent="0.25">
      <c r="B35" s="107">
        <v>43313</v>
      </c>
      <c r="C35" s="67">
        <v>202627</v>
      </c>
      <c r="D35" s="9">
        <v>43.56</v>
      </c>
      <c r="E35" s="9">
        <v>149.52000000000001</v>
      </c>
      <c r="F35" s="35">
        <v>348.91</v>
      </c>
    </row>
    <row r="36" spans="2:6" x14ac:dyDescent="0.25">
      <c r="B36" s="107">
        <v>43344</v>
      </c>
      <c r="C36" s="67">
        <v>203359</v>
      </c>
      <c r="D36" s="9">
        <v>44.27</v>
      </c>
      <c r="E36" s="9">
        <v>145.99</v>
      </c>
      <c r="F36" s="35">
        <v>327.66000000000003</v>
      </c>
    </row>
    <row r="37" spans="2:6" x14ac:dyDescent="0.25">
      <c r="B37" s="107">
        <v>43374</v>
      </c>
      <c r="C37" s="67">
        <v>211961</v>
      </c>
      <c r="D37" s="9">
        <v>45.44</v>
      </c>
      <c r="E37" s="9">
        <v>155.16</v>
      </c>
      <c r="F37" s="35">
        <v>343.23</v>
      </c>
    </row>
    <row r="38" spans="2:6" x14ac:dyDescent="0.25">
      <c r="B38" s="107">
        <v>43405</v>
      </c>
      <c r="C38" s="67">
        <v>206312</v>
      </c>
      <c r="D38" s="9">
        <v>46.23</v>
      </c>
      <c r="E38" s="9">
        <v>153.15</v>
      </c>
      <c r="F38" s="35">
        <v>343.87</v>
      </c>
    </row>
    <row r="39" spans="2:6" x14ac:dyDescent="0.25">
      <c r="B39" s="107">
        <v>43435</v>
      </c>
      <c r="C39" s="67">
        <v>205745</v>
      </c>
      <c r="D39" s="9">
        <v>47.69</v>
      </c>
      <c r="E39" s="9">
        <v>155.77000000000001</v>
      </c>
      <c r="F39" s="35">
        <v>367.77</v>
      </c>
    </row>
    <row r="40" spans="2:6" x14ac:dyDescent="0.25">
      <c r="B40" s="107">
        <v>43466</v>
      </c>
      <c r="C40" s="67">
        <v>201336</v>
      </c>
      <c r="D40" s="9">
        <v>40.299999999999997</v>
      </c>
      <c r="E40" s="9">
        <v>154.24</v>
      </c>
      <c r="F40" s="35">
        <v>368.02</v>
      </c>
    </row>
    <row r="41" spans="2:6" x14ac:dyDescent="0.25">
      <c r="B41" s="107">
        <v>43497</v>
      </c>
      <c r="C41" s="67">
        <v>212252</v>
      </c>
      <c r="D41" s="9">
        <v>50.04</v>
      </c>
      <c r="E41" s="9">
        <v>144.49</v>
      </c>
      <c r="F41" s="35">
        <v>328.15</v>
      </c>
    </row>
    <row r="42" spans="2:6" x14ac:dyDescent="0.25">
      <c r="B42" s="107">
        <v>43525</v>
      </c>
      <c r="C42" s="67">
        <v>226957</v>
      </c>
      <c r="D42" s="9">
        <v>50.36</v>
      </c>
      <c r="E42" s="9">
        <v>161.38</v>
      </c>
      <c r="F42" s="35">
        <v>368.39</v>
      </c>
    </row>
    <row r="43" spans="2:6" x14ac:dyDescent="0.25">
      <c r="B43" s="107">
        <v>43556</v>
      </c>
      <c r="C43" s="67">
        <v>230220</v>
      </c>
      <c r="D43" s="9">
        <v>52.05</v>
      </c>
      <c r="E43" s="9">
        <v>155.80000000000001</v>
      </c>
      <c r="F43" s="35">
        <v>360.22</v>
      </c>
    </row>
    <row r="44" spans="2:6" x14ac:dyDescent="0.25">
      <c r="B44" s="107">
        <v>43586</v>
      </c>
      <c r="C44" s="67">
        <v>224825</v>
      </c>
      <c r="D44" s="9">
        <v>52.2</v>
      </c>
      <c r="E44" s="9">
        <v>153.26</v>
      </c>
      <c r="F44" s="35">
        <v>364.25</v>
      </c>
    </row>
    <row r="45" spans="2:6" x14ac:dyDescent="0.25">
      <c r="B45" s="107">
        <v>43617</v>
      </c>
      <c r="C45" s="67">
        <v>222484</v>
      </c>
      <c r="D45" s="9">
        <v>46.8</v>
      </c>
      <c r="E45" s="9">
        <v>149.72999999999999</v>
      </c>
      <c r="F45" s="35">
        <v>346.85</v>
      </c>
    </row>
    <row r="46" spans="2:6" x14ac:dyDescent="0.25">
      <c r="B46" s="107">
        <v>43647</v>
      </c>
      <c r="C46" s="67">
        <v>222087</v>
      </c>
      <c r="D46" s="9">
        <v>53.89</v>
      </c>
      <c r="E46" s="9">
        <v>152.97999999999999</v>
      </c>
      <c r="F46" s="35">
        <v>366.39</v>
      </c>
    </row>
    <row r="47" spans="2:6" x14ac:dyDescent="0.25">
      <c r="B47" s="107">
        <v>43678</v>
      </c>
      <c r="C47" s="67">
        <v>222479</v>
      </c>
      <c r="D47" s="9">
        <v>54.78</v>
      </c>
      <c r="E47" s="9">
        <v>151.83000000000001</v>
      </c>
      <c r="F47" s="35">
        <v>368.5</v>
      </c>
    </row>
    <row r="48" spans="2:6" x14ac:dyDescent="0.25">
      <c r="B48" s="107">
        <v>43709</v>
      </c>
      <c r="C48" s="67">
        <v>224959</v>
      </c>
      <c r="D48" s="9">
        <v>55.7</v>
      </c>
      <c r="E48" s="9">
        <v>151.22</v>
      </c>
      <c r="F48" s="35">
        <v>365.91</v>
      </c>
    </row>
    <row r="49" spans="2:6" x14ac:dyDescent="0.25">
      <c r="B49" s="107">
        <v>43739</v>
      </c>
      <c r="C49" s="66">
        <v>223176</v>
      </c>
      <c r="D49" s="24">
        <v>56.29</v>
      </c>
      <c r="E49" s="24">
        <v>156.11000000000001</v>
      </c>
      <c r="F49" s="43">
        <v>366.9</v>
      </c>
    </row>
    <row r="50" spans="2:6" x14ac:dyDescent="0.25">
      <c r="B50" s="107">
        <v>43770</v>
      </c>
      <c r="C50" s="66">
        <v>222211</v>
      </c>
      <c r="D50" s="24">
        <v>58.04</v>
      </c>
      <c r="E50" s="24">
        <v>153.06</v>
      </c>
      <c r="F50" s="43">
        <v>359.26</v>
      </c>
    </row>
    <row r="51" spans="2:6" x14ac:dyDescent="0.25">
      <c r="B51" s="107">
        <v>43800</v>
      </c>
      <c r="C51" s="66">
        <v>224108</v>
      </c>
      <c r="D51" s="24">
        <v>58.36</v>
      </c>
      <c r="E51" s="24">
        <v>154.99</v>
      </c>
      <c r="F51" s="43">
        <v>382.93</v>
      </c>
    </row>
    <row r="52" spans="2:6" x14ac:dyDescent="0.25">
      <c r="B52" s="107">
        <v>43831</v>
      </c>
      <c r="C52" s="67">
        <v>231292</v>
      </c>
      <c r="D52" s="9">
        <v>59.17</v>
      </c>
      <c r="E52" s="9">
        <v>150.19999999999999</v>
      </c>
      <c r="F52" s="35">
        <v>371.9</v>
      </c>
    </row>
    <row r="53" spans="2:6" x14ac:dyDescent="0.25">
      <c r="B53" s="107">
        <v>43862</v>
      </c>
      <c r="C53" s="67">
        <v>235543</v>
      </c>
      <c r="D53" s="9">
        <v>58.67</v>
      </c>
      <c r="E53" s="9">
        <v>148.53</v>
      </c>
      <c r="F53" s="35">
        <v>350.48</v>
      </c>
    </row>
    <row r="54" spans="2:6" x14ac:dyDescent="0.25">
      <c r="B54" s="107">
        <v>43891</v>
      </c>
      <c r="C54" s="67">
        <v>240261</v>
      </c>
      <c r="D54" s="9">
        <v>58.71</v>
      </c>
      <c r="E54" s="9">
        <v>150.69</v>
      </c>
      <c r="F54" s="35">
        <v>364.51</v>
      </c>
    </row>
    <row r="55" spans="2:6" x14ac:dyDescent="0.25">
      <c r="B55" s="107">
        <v>43922</v>
      </c>
      <c r="C55" s="67">
        <v>242275</v>
      </c>
      <c r="D55" s="9">
        <v>59.43</v>
      </c>
      <c r="E55" s="9">
        <v>124.99</v>
      </c>
      <c r="F55" s="35">
        <v>307.99</v>
      </c>
    </row>
    <row r="56" spans="2:6" x14ac:dyDescent="0.25">
      <c r="B56" s="107">
        <v>43952</v>
      </c>
      <c r="C56" s="67">
        <v>243115</v>
      </c>
      <c r="D56" s="9">
        <v>60.24</v>
      </c>
      <c r="E56" s="9">
        <v>135.91999999999999</v>
      </c>
      <c r="F56" s="35">
        <v>357.37</v>
      </c>
    </row>
    <row r="57" spans="2:6" x14ac:dyDescent="0.25">
      <c r="B57" s="107">
        <v>43983</v>
      </c>
      <c r="C57" s="67">
        <v>237637</v>
      </c>
      <c r="D57" s="9">
        <v>61.73</v>
      </c>
      <c r="E57" s="9">
        <v>143.13999999999999</v>
      </c>
      <c r="F57" s="35">
        <v>392.17</v>
      </c>
    </row>
    <row r="58" spans="2:6" x14ac:dyDescent="0.25">
      <c r="B58" s="107">
        <v>44013</v>
      </c>
      <c r="C58" s="67">
        <v>234747</v>
      </c>
      <c r="D58" s="9">
        <v>62.07</v>
      </c>
      <c r="E58" s="9">
        <v>157.76</v>
      </c>
      <c r="F58" s="35">
        <v>450.98</v>
      </c>
    </row>
    <row r="59" spans="2:6" x14ac:dyDescent="0.25">
      <c r="B59" s="107">
        <v>44044</v>
      </c>
      <c r="C59" s="67">
        <v>252703</v>
      </c>
      <c r="D59" s="9">
        <v>62.78</v>
      </c>
      <c r="E59" s="9">
        <v>163.21</v>
      </c>
      <c r="F59" s="35">
        <v>473.52</v>
      </c>
    </row>
    <row r="60" spans="2:6" x14ac:dyDescent="0.25">
      <c r="B60" s="107">
        <v>44075</v>
      </c>
      <c r="C60" s="67">
        <v>263200</v>
      </c>
      <c r="D60" s="9">
        <v>64.03</v>
      </c>
      <c r="E60" s="9">
        <v>163.34</v>
      </c>
      <c r="F60" s="35">
        <v>483.21</v>
      </c>
    </row>
    <row r="61" spans="2:6" x14ac:dyDescent="0.25">
      <c r="B61" s="107">
        <v>44105</v>
      </c>
      <c r="C61" s="67">
        <v>273531</v>
      </c>
      <c r="D61" s="9">
        <v>65.260000000000005</v>
      </c>
      <c r="E61" s="9">
        <v>174.11</v>
      </c>
      <c r="F61" s="35">
        <v>528.9</v>
      </c>
    </row>
    <row r="62" spans="2:6" x14ac:dyDescent="0.25">
      <c r="B62" s="107">
        <v>44136</v>
      </c>
      <c r="C62" s="67">
        <v>275960</v>
      </c>
      <c r="D62" s="9">
        <v>65.77</v>
      </c>
      <c r="E62" s="9">
        <v>170.03</v>
      </c>
      <c r="F62" s="35">
        <v>526.80999999999995</v>
      </c>
    </row>
    <row r="63" spans="2:6" x14ac:dyDescent="0.25">
      <c r="B63" s="107">
        <v>44166</v>
      </c>
      <c r="C63" s="67">
        <v>282929</v>
      </c>
      <c r="D63" s="9">
        <v>66.010000000000005</v>
      </c>
      <c r="E63" s="9">
        <v>181.37</v>
      </c>
      <c r="F63" s="35">
        <v>605.69000000000005</v>
      </c>
    </row>
    <row r="64" spans="2:6" x14ac:dyDescent="0.25">
      <c r="B64" s="107">
        <v>44197</v>
      </c>
      <c r="C64" s="67">
        <v>287410</v>
      </c>
      <c r="D64" s="9">
        <v>66.59</v>
      </c>
      <c r="E64" s="9">
        <v>173.91</v>
      </c>
      <c r="F64" s="35">
        <v>590.36</v>
      </c>
    </row>
    <row r="65" spans="2:6" x14ac:dyDescent="0.25">
      <c r="B65" s="107">
        <v>44228</v>
      </c>
      <c r="C65" s="67">
        <v>294111</v>
      </c>
      <c r="D65" s="9">
        <v>67.16</v>
      </c>
      <c r="E65" s="9">
        <v>164.2</v>
      </c>
      <c r="F65" s="35">
        <v>567.99</v>
      </c>
    </row>
    <row r="66" spans="2:6" x14ac:dyDescent="0.25">
      <c r="B66" s="107">
        <v>44256</v>
      </c>
      <c r="C66" s="67">
        <v>293403</v>
      </c>
      <c r="D66" s="9">
        <v>65.930000000000007</v>
      </c>
      <c r="E66" s="9">
        <v>182.29</v>
      </c>
      <c r="F66" s="35">
        <v>537.75</v>
      </c>
    </row>
    <row r="67" spans="2:6" x14ac:dyDescent="0.25">
      <c r="B67" s="107">
        <v>44287</v>
      </c>
      <c r="C67" s="67">
        <v>294706</v>
      </c>
      <c r="D67" s="9">
        <v>67.11</v>
      </c>
      <c r="E67" s="9">
        <v>173.35</v>
      </c>
      <c r="F67" s="35">
        <v>502.22</v>
      </c>
    </row>
    <row r="68" spans="2:6" x14ac:dyDescent="0.25">
      <c r="B68" s="107">
        <v>44317</v>
      </c>
      <c r="C68" s="67">
        <v>298883</v>
      </c>
      <c r="D68" s="9">
        <v>67.77</v>
      </c>
      <c r="E68" s="9">
        <v>180.76</v>
      </c>
      <c r="F68" s="35">
        <v>536.69000000000005</v>
      </c>
    </row>
    <row r="69" spans="2:6" x14ac:dyDescent="0.25">
      <c r="B69" s="107">
        <v>44348</v>
      </c>
      <c r="C69" s="67">
        <v>301457</v>
      </c>
      <c r="D69" s="9">
        <v>67.78</v>
      </c>
      <c r="E69" s="9">
        <v>175.83</v>
      </c>
      <c r="F69" s="35">
        <v>532.63</v>
      </c>
    </row>
    <row r="70" spans="2:6" x14ac:dyDescent="0.25">
      <c r="B70" s="107">
        <v>44378</v>
      </c>
      <c r="C70" s="67">
        <v>303718</v>
      </c>
      <c r="D70" s="9">
        <v>68.540000000000006</v>
      </c>
      <c r="E70" s="9">
        <v>184</v>
      </c>
      <c r="F70" s="35">
        <v>587.98</v>
      </c>
    </row>
    <row r="71" spans="2:6" x14ac:dyDescent="0.25">
      <c r="B71" s="107">
        <v>44409</v>
      </c>
      <c r="C71" s="67">
        <v>304822</v>
      </c>
      <c r="D71" s="9">
        <v>68.09</v>
      </c>
      <c r="E71" s="9">
        <v>184.51</v>
      </c>
      <c r="F71" s="35">
        <v>586.52</v>
      </c>
    </row>
    <row r="72" spans="2:6" x14ac:dyDescent="0.25">
      <c r="B72" s="107">
        <v>44440</v>
      </c>
      <c r="C72" s="67">
        <v>305831</v>
      </c>
      <c r="D72" s="9">
        <v>67.7</v>
      </c>
      <c r="E72" s="9">
        <v>180.85</v>
      </c>
      <c r="F72" s="35">
        <v>585.38</v>
      </c>
    </row>
    <row r="73" spans="2:6" x14ac:dyDescent="0.25">
      <c r="B73" s="107">
        <v>44470</v>
      </c>
      <c r="C73" s="67">
        <v>295105</v>
      </c>
      <c r="D73" s="9">
        <v>66.88</v>
      </c>
      <c r="E73" s="9">
        <v>190.06</v>
      </c>
      <c r="F73" s="35">
        <v>618.14</v>
      </c>
    </row>
    <row r="74" spans="2:6" x14ac:dyDescent="0.25">
      <c r="B74" s="107">
        <v>44501</v>
      </c>
      <c r="C74" s="67">
        <v>299053</v>
      </c>
      <c r="D74" s="9">
        <v>67.150000000000006</v>
      </c>
      <c r="E74" s="9">
        <v>185.98</v>
      </c>
      <c r="F74" s="35">
        <v>600.97</v>
      </c>
    </row>
    <row r="75" spans="2:6" x14ac:dyDescent="0.25">
      <c r="B75" s="107">
        <v>44531</v>
      </c>
      <c r="C75" s="67">
        <v>298272</v>
      </c>
      <c r="D75" s="9">
        <v>68.03</v>
      </c>
      <c r="E75" s="9">
        <v>189.8</v>
      </c>
      <c r="F75" s="35">
        <v>622.14</v>
      </c>
    </row>
    <row r="76" spans="2:6" x14ac:dyDescent="0.25">
      <c r="B76" s="107">
        <v>44562</v>
      </c>
      <c r="C76" s="67">
        <v>299860</v>
      </c>
      <c r="D76" s="9">
        <v>68.28</v>
      </c>
      <c r="E76" s="9">
        <v>181.85</v>
      </c>
      <c r="F76" s="35">
        <v>585.82000000000005</v>
      </c>
    </row>
    <row r="77" spans="2:6" x14ac:dyDescent="0.25">
      <c r="B77" s="107">
        <v>44593</v>
      </c>
      <c r="C77" s="67">
        <v>301108</v>
      </c>
      <c r="D77" s="9">
        <v>67.94</v>
      </c>
      <c r="E77" s="9">
        <v>171.39</v>
      </c>
      <c r="F77" s="35">
        <v>568.71</v>
      </c>
    </row>
    <row r="78" spans="2:6" x14ac:dyDescent="0.25">
      <c r="B78" s="107">
        <v>44621</v>
      </c>
      <c r="C78" s="67">
        <v>302837</v>
      </c>
      <c r="D78" s="9">
        <v>68.62</v>
      </c>
      <c r="E78" s="9">
        <v>195.82</v>
      </c>
      <c r="F78" s="35">
        <v>664.31</v>
      </c>
    </row>
    <row r="79" spans="2:6" x14ac:dyDescent="0.25">
      <c r="B79" s="107">
        <v>44652</v>
      </c>
      <c r="C79" s="67">
        <v>295237</v>
      </c>
      <c r="D79" s="9">
        <v>68.72</v>
      </c>
      <c r="E79" s="9">
        <v>188.24</v>
      </c>
      <c r="F79" s="35">
        <v>663.53</v>
      </c>
    </row>
    <row r="80" spans="2:6" x14ac:dyDescent="0.25">
      <c r="B80" s="107">
        <v>44682</v>
      </c>
      <c r="C80" s="67">
        <v>305830</v>
      </c>
      <c r="D80" s="9">
        <v>70.03</v>
      </c>
      <c r="E80" s="9">
        <v>192.95</v>
      </c>
      <c r="F80" s="35">
        <v>692.62</v>
      </c>
    </row>
    <row r="81" spans="2:6" x14ac:dyDescent="0.25">
      <c r="B81" s="107">
        <v>44713</v>
      </c>
      <c r="C81" s="67">
        <v>304693</v>
      </c>
      <c r="D81" s="9">
        <v>70.33</v>
      </c>
      <c r="E81" s="9">
        <v>186.2</v>
      </c>
      <c r="F81" s="35">
        <v>665.09</v>
      </c>
    </row>
    <row r="82" spans="2:6" x14ac:dyDescent="0.25">
      <c r="B82" s="107">
        <v>44743</v>
      </c>
      <c r="C82" s="67">
        <v>309856</v>
      </c>
      <c r="D82" s="9">
        <v>71.58</v>
      </c>
      <c r="E82" s="9">
        <v>194.77</v>
      </c>
      <c r="F82" s="35">
        <v>722.52</v>
      </c>
    </row>
    <row r="83" spans="2:6" x14ac:dyDescent="0.25">
      <c r="B83" s="107">
        <v>44774</v>
      </c>
      <c r="C83" s="67">
        <v>310450</v>
      </c>
      <c r="D83" s="9">
        <v>70.06</v>
      </c>
      <c r="E83" s="9">
        <v>184.81</v>
      </c>
      <c r="F83" s="35">
        <v>677.36</v>
      </c>
    </row>
    <row r="84" spans="2:6" x14ac:dyDescent="0.25">
      <c r="B84" s="107">
        <v>44805</v>
      </c>
      <c r="C84" s="67">
        <v>308799</v>
      </c>
      <c r="D84" s="9">
        <v>71.67</v>
      </c>
      <c r="E84" s="9">
        <v>189.7</v>
      </c>
      <c r="F84" s="35">
        <v>674.47</v>
      </c>
    </row>
    <row r="85" spans="2:6" x14ac:dyDescent="0.25">
      <c r="B85" s="107">
        <v>44835</v>
      </c>
      <c r="C85" s="67">
        <v>311957</v>
      </c>
      <c r="D85" s="9">
        <v>73.22</v>
      </c>
      <c r="E85" s="9">
        <v>196.93</v>
      </c>
      <c r="F85" s="35">
        <v>646.5</v>
      </c>
    </row>
    <row r="86" spans="2:6" x14ac:dyDescent="0.25">
      <c r="B86" s="107">
        <v>44866</v>
      </c>
      <c r="C86" s="67">
        <v>315240</v>
      </c>
      <c r="D86" s="9">
        <v>73.22</v>
      </c>
      <c r="E86" s="9">
        <v>190.46</v>
      </c>
      <c r="F86" s="35">
        <v>639.84</v>
      </c>
    </row>
    <row r="87" spans="2:6" x14ac:dyDescent="0.25">
      <c r="B87" s="107">
        <v>44896</v>
      </c>
      <c r="C87" s="67">
        <v>317983</v>
      </c>
      <c r="D87" s="9">
        <v>73.12</v>
      </c>
      <c r="E87" s="9">
        <v>207.01</v>
      </c>
      <c r="F87" s="35">
        <v>708.06</v>
      </c>
    </row>
    <row r="88" spans="2:6" x14ac:dyDescent="0.25">
      <c r="B88" s="107">
        <v>44927</v>
      </c>
      <c r="C88" s="67">
        <v>319079</v>
      </c>
      <c r="D88" s="9">
        <v>74.41</v>
      </c>
      <c r="E88" s="9">
        <v>198.31</v>
      </c>
      <c r="F88" s="35">
        <v>589.29999999999995</v>
      </c>
    </row>
    <row r="89" spans="2:6" x14ac:dyDescent="0.25">
      <c r="B89" s="107">
        <v>44958</v>
      </c>
      <c r="C89" s="67">
        <v>323613</v>
      </c>
      <c r="D89" s="9">
        <v>74.040000000000006</v>
      </c>
      <c r="E89" s="9">
        <v>184.82</v>
      </c>
      <c r="F89" s="35">
        <v>578.09</v>
      </c>
    </row>
    <row r="90" spans="2:6" x14ac:dyDescent="0.25">
      <c r="B90" s="107">
        <v>44986</v>
      </c>
      <c r="C90" s="67">
        <v>321149</v>
      </c>
      <c r="D90" s="9">
        <v>73.72</v>
      </c>
      <c r="E90" s="9">
        <v>204.83</v>
      </c>
      <c r="F90" s="35">
        <v>645.79999999999995</v>
      </c>
    </row>
    <row r="91" spans="2:6" x14ac:dyDescent="0.25">
      <c r="B91" s="107">
        <v>45017</v>
      </c>
      <c r="C91" s="67">
        <v>329968</v>
      </c>
      <c r="D91" s="9">
        <v>75.959999999999994</v>
      </c>
      <c r="E91" s="9">
        <v>194.95</v>
      </c>
      <c r="F91" s="35">
        <v>615.25</v>
      </c>
    </row>
    <row r="92" spans="2:6" x14ac:dyDescent="0.25">
      <c r="B92" s="107">
        <v>45047</v>
      </c>
      <c r="C92" s="67">
        <v>334726</v>
      </c>
      <c r="D92" s="9">
        <v>77.34</v>
      </c>
      <c r="E92" s="9">
        <v>205.88</v>
      </c>
      <c r="F92" s="35">
        <v>670.44</v>
      </c>
    </row>
    <row r="93" spans="2:6" x14ac:dyDescent="0.25">
      <c r="B93" s="107">
        <v>45078</v>
      </c>
      <c r="C93" s="67">
        <v>328543</v>
      </c>
      <c r="D93" s="9">
        <v>76.989999999999995</v>
      </c>
      <c r="E93" s="9">
        <v>197.42</v>
      </c>
      <c r="F93" s="35">
        <v>643.76</v>
      </c>
    </row>
    <row r="94" spans="2:6" x14ac:dyDescent="0.25">
      <c r="B94" s="107">
        <v>45108</v>
      </c>
      <c r="C94" s="67">
        <v>330912</v>
      </c>
      <c r="D94" s="9">
        <v>77.209999999999994</v>
      </c>
      <c r="E94" s="9">
        <v>202.85</v>
      </c>
      <c r="F94" s="35">
        <v>684.64</v>
      </c>
    </row>
    <row r="95" spans="2:6" x14ac:dyDescent="0.25">
      <c r="B95" s="107">
        <v>45139</v>
      </c>
      <c r="C95" s="67">
        <v>333428</v>
      </c>
      <c r="D95" s="9">
        <v>77.55</v>
      </c>
      <c r="E95" s="9">
        <v>208.61</v>
      </c>
      <c r="F95" s="35">
        <v>666.63</v>
      </c>
    </row>
    <row r="96" spans="2:6" x14ac:dyDescent="0.25">
      <c r="B96" s="107">
        <v>45170</v>
      </c>
      <c r="C96" s="67">
        <v>336033</v>
      </c>
      <c r="D96" s="9">
        <v>77.069999999999993</v>
      </c>
      <c r="E96" s="9">
        <v>201.58</v>
      </c>
      <c r="F96" s="35">
        <v>660.84</v>
      </c>
    </row>
    <row r="97" spans="2:6" x14ac:dyDescent="0.25">
      <c r="B97" s="107">
        <v>45200</v>
      </c>
      <c r="C97" s="67">
        <v>333291</v>
      </c>
      <c r="D97" s="9">
        <v>75.959999999999994</v>
      </c>
      <c r="E97" s="9">
        <v>210.62</v>
      </c>
      <c r="F97" s="35">
        <v>703.28</v>
      </c>
    </row>
    <row r="98" spans="2:6" x14ac:dyDescent="0.25">
      <c r="B98" s="107">
        <v>45231</v>
      </c>
      <c r="C98" s="67">
        <v>327928</v>
      </c>
      <c r="D98" s="9">
        <v>77.12</v>
      </c>
      <c r="E98" s="9">
        <v>201.31</v>
      </c>
      <c r="F98" s="35">
        <v>707.55</v>
      </c>
    </row>
    <row r="99" spans="2:6" x14ac:dyDescent="0.25">
      <c r="B99" s="107">
        <v>45261</v>
      </c>
      <c r="C99" s="67">
        <v>322404</v>
      </c>
      <c r="D99" s="9">
        <v>77.260000000000005</v>
      </c>
      <c r="E99" s="9">
        <v>213.31</v>
      </c>
      <c r="F99" s="35">
        <v>788.35</v>
      </c>
    </row>
    <row r="100" spans="2:6" x14ac:dyDescent="0.25">
      <c r="B100" s="107">
        <v>45292</v>
      </c>
      <c r="C100" s="2">
        <v>321340</v>
      </c>
      <c r="D100" s="2">
        <v>76.760000000000005</v>
      </c>
      <c r="E100" s="2">
        <v>211.58</v>
      </c>
      <c r="F100" s="11">
        <v>783.98</v>
      </c>
    </row>
    <row r="101" spans="2:6" x14ac:dyDescent="0.25">
      <c r="B101" s="107">
        <v>45323</v>
      </c>
      <c r="C101" s="2">
        <v>320182</v>
      </c>
      <c r="D101" s="2">
        <v>77.33</v>
      </c>
      <c r="E101" s="2">
        <v>213.34</v>
      </c>
      <c r="F101" s="11">
        <v>790.8</v>
      </c>
    </row>
    <row r="102" spans="2:6" x14ac:dyDescent="0.25">
      <c r="B102" s="107">
        <v>45352</v>
      </c>
      <c r="C102" s="2">
        <v>320276</v>
      </c>
      <c r="D102" s="2">
        <v>77.73</v>
      </c>
      <c r="E102" s="2">
        <v>207.81</v>
      </c>
      <c r="F102" s="11">
        <v>747.73</v>
      </c>
    </row>
    <row r="103" spans="2:6" x14ac:dyDescent="0.25">
      <c r="B103" s="107">
        <v>45383</v>
      </c>
      <c r="C103" s="2">
        <v>331614</v>
      </c>
      <c r="D103" s="2">
        <v>77.44</v>
      </c>
      <c r="E103" s="2">
        <v>203.55</v>
      </c>
      <c r="F103" s="11">
        <v>711.67</v>
      </c>
    </row>
    <row r="104" spans="2:6" x14ac:dyDescent="0.25">
      <c r="B104" s="107">
        <v>45413</v>
      </c>
      <c r="C104" s="2">
        <v>334088</v>
      </c>
      <c r="D104" s="2">
        <v>77.239999999999995</v>
      </c>
      <c r="E104" s="2">
        <v>208.13</v>
      </c>
      <c r="F104" s="11">
        <v>722.27</v>
      </c>
    </row>
    <row r="105" spans="2:6" x14ac:dyDescent="0.25">
      <c r="B105" s="107">
        <v>45444</v>
      </c>
      <c r="C105" s="2">
        <v>334046</v>
      </c>
      <c r="D105" s="2">
        <v>77.92</v>
      </c>
      <c r="E105" s="2">
        <v>201.06</v>
      </c>
      <c r="F105" s="11">
        <v>676.01</v>
      </c>
    </row>
    <row r="106" spans="2:6" x14ac:dyDescent="0.25">
      <c r="B106" s="107">
        <v>45474</v>
      </c>
      <c r="C106" s="2">
        <v>340889</v>
      </c>
      <c r="D106" s="2">
        <v>78.61</v>
      </c>
      <c r="E106" s="2">
        <v>204.17</v>
      </c>
      <c r="F106" s="11">
        <v>705.85</v>
      </c>
    </row>
    <row r="107" spans="2:6" x14ac:dyDescent="0.25">
      <c r="B107" s="107">
        <v>45505</v>
      </c>
      <c r="C107" s="2">
        <v>348065</v>
      </c>
      <c r="D107" s="2">
        <v>78.64</v>
      </c>
      <c r="E107" s="2">
        <v>214.25</v>
      </c>
      <c r="F107" s="11">
        <v>705.91</v>
      </c>
    </row>
    <row r="108" spans="2:6" x14ac:dyDescent="0.25">
      <c r="B108" s="107">
        <v>45536</v>
      </c>
      <c r="C108" s="2">
        <v>367551</v>
      </c>
      <c r="D108" s="2">
        <v>79.37</v>
      </c>
      <c r="E108" s="2">
        <v>196.49</v>
      </c>
      <c r="F108" s="11">
        <v>670.52</v>
      </c>
    </row>
    <row r="109" spans="2:6" x14ac:dyDescent="0.25">
      <c r="B109" s="107">
        <v>45566</v>
      </c>
      <c r="C109" s="119">
        <v>358621</v>
      </c>
      <c r="D109" s="119">
        <v>80.819999999999993</v>
      </c>
      <c r="E109" s="119">
        <v>215.26</v>
      </c>
      <c r="F109" s="11">
        <v>722.28</v>
      </c>
    </row>
    <row r="110" spans="2:6" x14ac:dyDescent="0.25">
      <c r="B110" s="107">
        <v>45597</v>
      </c>
      <c r="C110" s="119">
        <v>383624</v>
      </c>
      <c r="D110" s="119">
        <v>81.55</v>
      </c>
      <c r="E110" s="119">
        <v>297.02</v>
      </c>
      <c r="F110" s="11">
        <v>707.27</v>
      </c>
    </row>
    <row r="111" spans="2:6" x14ac:dyDescent="0.25">
      <c r="B111" s="107">
        <v>45627</v>
      </c>
      <c r="C111" s="119">
        <v>381116</v>
      </c>
      <c r="D111" s="119">
        <v>82.43</v>
      </c>
      <c r="E111" s="119">
        <v>309.27999999999997</v>
      </c>
      <c r="F111" s="11">
        <v>753.45</v>
      </c>
    </row>
    <row r="112" spans="2:6" x14ac:dyDescent="0.25">
      <c r="B112" s="107">
        <v>45658</v>
      </c>
      <c r="C112" s="119">
        <v>382873</v>
      </c>
      <c r="D112" s="2">
        <v>83.4</v>
      </c>
      <c r="E112" s="2">
        <v>294.62</v>
      </c>
      <c r="F112" s="11">
        <v>697.51</v>
      </c>
    </row>
    <row r="113" spans="2:6" x14ac:dyDescent="0.25">
      <c r="B113" s="107">
        <v>45689</v>
      </c>
      <c r="C113" s="119">
        <v>394853</v>
      </c>
      <c r="D113" s="2">
        <v>84.56</v>
      </c>
      <c r="E113" s="2">
        <v>267.88</v>
      </c>
      <c r="F113" s="11">
        <v>636.21</v>
      </c>
    </row>
    <row r="114" spans="2:6" x14ac:dyDescent="0.25">
      <c r="B114" s="107">
        <v>45717</v>
      </c>
      <c r="C114" s="119">
        <v>410115</v>
      </c>
      <c r="D114" s="2">
        <v>85</v>
      </c>
      <c r="E114" s="2">
        <v>311.44</v>
      </c>
      <c r="F114" s="11">
        <v>710.66</v>
      </c>
    </row>
    <row r="115" spans="2:6" x14ac:dyDescent="0.25">
      <c r="B115" s="107">
        <v>45748</v>
      </c>
      <c r="C115" s="119">
        <v>417999</v>
      </c>
      <c r="D115" s="2">
        <v>86.01</v>
      </c>
      <c r="E115" s="2">
        <v>303.08999999999997</v>
      </c>
      <c r="F115" s="11">
        <v>698.77</v>
      </c>
    </row>
    <row r="116" spans="2:6" x14ac:dyDescent="0.25">
      <c r="B116" s="107">
        <v>45778</v>
      </c>
      <c r="C116" s="119">
        <v>424404</v>
      </c>
      <c r="D116" s="2">
        <v>85.62</v>
      </c>
      <c r="E116" s="2">
        <v>215.81</v>
      </c>
      <c r="F116" s="11">
        <v>713.25</v>
      </c>
    </row>
    <row r="117" spans="2:6" x14ac:dyDescent="0.25">
      <c r="B117" s="107">
        <v>45809</v>
      </c>
      <c r="C117" s="119">
        <v>433615</v>
      </c>
      <c r="D117" s="2">
        <v>84.2</v>
      </c>
      <c r="E117" s="2">
        <v>207.78</v>
      </c>
      <c r="F117" s="11">
        <v>667.77</v>
      </c>
    </row>
    <row r="118" spans="2:6" x14ac:dyDescent="0.25">
      <c r="B118" s="107">
        <v>45839</v>
      </c>
      <c r="C118" s="119">
        <v>437730</v>
      </c>
      <c r="D118" s="2">
        <v>84.09</v>
      </c>
      <c r="E118" s="2">
        <v>215.32</v>
      </c>
      <c r="F118" s="11">
        <v>673.11</v>
      </c>
    </row>
    <row r="119" spans="2:6" x14ac:dyDescent="0.25">
      <c r="B119" s="107">
        <v>45870</v>
      </c>
      <c r="C119" s="119">
        <v>451157</v>
      </c>
      <c r="D119" s="2">
        <v>87.46</v>
      </c>
      <c r="E119" s="2">
        <v>221.13</v>
      </c>
      <c r="F119" s="11">
        <v>688.44</v>
      </c>
    </row>
    <row r="120" spans="2:6" x14ac:dyDescent="0.25">
      <c r="B120" s="107">
        <v>45901</v>
      </c>
      <c r="C120" s="119">
        <v>456742</v>
      </c>
      <c r="D120" s="2">
        <v>87.01</v>
      </c>
      <c r="E120" s="2">
        <v>210.41</v>
      </c>
      <c r="F120" s="11">
        <v>684.82</v>
      </c>
    </row>
    <row r="121" spans="2:6" x14ac:dyDescent="0.25">
      <c r="B121" s="107">
        <v>45931</v>
      </c>
      <c r="C121" s="119">
        <v>462760</v>
      </c>
      <c r="D121" s="2">
        <v>87.94</v>
      </c>
      <c r="E121" s="2">
        <v>218.44</v>
      </c>
      <c r="F121" s="11">
        <v>678.98</v>
      </c>
    </row>
    <row r="122" spans="2:6" x14ac:dyDescent="0.25">
      <c r="B122" s="107">
        <v>45962</v>
      </c>
      <c r="C122" s="119">
        <v>475079</v>
      </c>
      <c r="D122" s="2">
        <v>89.06</v>
      </c>
      <c r="E122" s="2">
        <v>213.68</v>
      </c>
      <c r="F122" s="11">
        <v>665.14</v>
      </c>
    </row>
    <row r="123" spans="2:6" x14ac:dyDescent="0.25">
      <c r="B123" s="107">
        <v>45992</v>
      </c>
      <c r="C123" s="119">
        <v>473576</v>
      </c>
      <c r="D123" s="2">
        <v>89.46</v>
      </c>
      <c r="E123" s="2">
        <v>217.58</v>
      </c>
      <c r="F123" s="11">
        <v>722.53</v>
      </c>
    </row>
    <row r="124" spans="2:6" x14ac:dyDescent="0.25">
      <c r="B124" s="107"/>
      <c r="C124" s="119"/>
      <c r="D124" s="2"/>
      <c r="E124" s="2"/>
      <c r="F124" s="11"/>
    </row>
    <row r="125" spans="2:6" x14ac:dyDescent="0.25">
      <c r="B125" s="107"/>
      <c r="C125" s="119"/>
      <c r="D125" s="2"/>
      <c r="E125" s="2"/>
      <c r="F125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195D-A805-42FF-AD95-4BF697E9FE98}">
  <dimension ref="B1:R116"/>
  <sheetViews>
    <sheetView workbookViewId="0">
      <pane ySplit="2" topLeftCell="A104" activePane="bottomLeft" state="frozen"/>
      <selection pane="bottomLeft" activeCell="B98" sqref="B98:R116"/>
    </sheetView>
  </sheetViews>
  <sheetFormatPr defaultRowHeight="14.5" x14ac:dyDescent="0.35"/>
  <sheetData>
    <row r="1" spans="2:18" x14ac:dyDescent="0.35">
      <c r="B1" s="1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2:18" ht="92" x14ac:dyDescent="0.35">
      <c r="B2" s="59"/>
      <c r="C2" s="38" t="s">
        <v>52</v>
      </c>
      <c r="D2" s="38" t="s">
        <v>156</v>
      </c>
      <c r="E2" s="38" t="s">
        <v>88</v>
      </c>
      <c r="F2" s="38" t="s">
        <v>155</v>
      </c>
      <c r="G2" s="38" t="s">
        <v>154</v>
      </c>
      <c r="H2" s="38" t="s">
        <v>153</v>
      </c>
      <c r="I2" s="38" t="s">
        <v>152</v>
      </c>
      <c r="J2" s="38" t="s">
        <v>151</v>
      </c>
      <c r="K2" s="38" t="s">
        <v>48</v>
      </c>
      <c r="L2" s="38" t="s">
        <v>156</v>
      </c>
      <c r="M2" s="38" t="s">
        <v>88</v>
      </c>
      <c r="N2" s="38" t="s">
        <v>155</v>
      </c>
      <c r="O2" s="38" t="s">
        <v>154</v>
      </c>
      <c r="P2" s="38" t="s">
        <v>153</v>
      </c>
      <c r="Q2" s="38" t="s">
        <v>152</v>
      </c>
      <c r="R2" s="39" t="s">
        <v>151</v>
      </c>
    </row>
    <row r="3" spans="2:18" x14ac:dyDescent="0.35">
      <c r="B3" s="58">
        <v>42795</v>
      </c>
      <c r="C3" s="9"/>
      <c r="D3" s="9">
        <v>84.8</v>
      </c>
      <c r="E3" s="63">
        <v>3183.1</v>
      </c>
      <c r="F3" s="9">
        <v>158.69999999999999</v>
      </c>
      <c r="G3" s="9">
        <v>251.4</v>
      </c>
      <c r="H3" s="9">
        <v>8.73</v>
      </c>
      <c r="I3" s="9">
        <v>25.44</v>
      </c>
      <c r="J3" s="63">
        <v>2989</v>
      </c>
      <c r="K3" s="9"/>
      <c r="L3" s="9">
        <v>19</v>
      </c>
      <c r="M3" s="9">
        <v>16.3</v>
      </c>
      <c r="N3" s="9">
        <v>2.6</v>
      </c>
      <c r="O3" s="9">
        <v>0.8</v>
      </c>
      <c r="P3" s="9">
        <v>0.04</v>
      </c>
      <c r="Q3" s="9">
        <v>0.04</v>
      </c>
      <c r="R3" s="9">
        <v>61.82</v>
      </c>
    </row>
    <row r="4" spans="2:18" x14ac:dyDescent="0.35">
      <c r="B4" s="58">
        <v>42826</v>
      </c>
      <c r="C4" s="24"/>
      <c r="D4" s="24">
        <v>106.3</v>
      </c>
      <c r="E4" s="94">
        <v>1143.43</v>
      </c>
      <c r="F4" s="24">
        <v>50.02</v>
      </c>
      <c r="G4" s="24">
        <v>614.41</v>
      </c>
      <c r="H4" s="24">
        <v>3.9</v>
      </c>
      <c r="I4" s="24">
        <v>27.33</v>
      </c>
      <c r="J4" s="94">
        <v>2064.1</v>
      </c>
      <c r="K4" s="24"/>
      <c r="L4" s="24">
        <v>3</v>
      </c>
      <c r="M4" s="24">
        <v>8</v>
      </c>
      <c r="N4" s="24">
        <v>1</v>
      </c>
      <c r="O4" s="24">
        <v>1.1000000000000001</v>
      </c>
      <c r="P4" s="24">
        <v>0.01</v>
      </c>
      <c r="Q4" s="24">
        <v>0.84</v>
      </c>
      <c r="R4" s="24">
        <v>22.7</v>
      </c>
    </row>
    <row r="5" spans="2:18" x14ac:dyDescent="0.35">
      <c r="B5" s="58">
        <v>42856</v>
      </c>
      <c r="C5" s="24"/>
      <c r="D5" s="24">
        <v>282.3</v>
      </c>
      <c r="E5" s="94">
        <v>4144.9399999999996</v>
      </c>
      <c r="F5" s="24">
        <v>58.4</v>
      </c>
      <c r="G5" s="24">
        <v>385.2</v>
      </c>
      <c r="H5" s="24">
        <v>10.199999999999999</v>
      </c>
      <c r="I5" s="24">
        <v>316.3</v>
      </c>
      <c r="J5" s="94">
        <v>2138</v>
      </c>
      <c r="K5" s="24"/>
      <c r="L5" s="24">
        <v>0.32</v>
      </c>
      <c r="M5" s="24">
        <v>21.9</v>
      </c>
      <c r="N5" s="24">
        <v>5.0999999999999996</v>
      </c>
      <c r="O5" s="24">
        <v>12.2</v>
      </c>
      <c r="P5" s="24">
        <v>0.04</v>
      </c>
      <c r="Q5" s="24">
        <v>0.31</v>
      </c>
      <c r="R5" s="24">
        <v>19.2</v>
      </c>
    </row>
    <row r="6" spans="2:18" x14ac:dyDescent="0.35">
      <c r="B6" s="58">
        <v>42887</v>
      </c>
      <c r="C6" s="24"/>
      <c r="D6" s="24">
        <v>113.9</v>
      </c>
      <c r="E6" s="94">
        <v>3553</v>
      </c>
      <c r="F6" s="24">
        <v>89.6</v>
      </c>
      <c r="G6" s="24">
        <v>528.41999999999996</v>
      </c>
      <c r="H6" s="24">
        <v>9.1300000000000008</v>
      </c>
      <c r="I6" s="24">
        <v>20.3</v>
      </c>
      <c r="J6" s="94">
        <v>5931.83</v>
      </c>
      <c r="K6" s="24"/>
      <c r="L6" s="24">
        <v>1.5</v>
      </c>
      <c r="M6" s="24">
        <v>16</v>
      </c>
      <c r="N6" s="24">
        <v>2.7</v>
      </c>
      <c r="O6" s="24">
        <v>50.4</v>
      </c>
      <c r="P6" s="24">
        <v>1.3</v>
      </c>
      <c r="Q6" s="24">
        <v>0.06</v>
      </c>
      <c r="R6" s="24">
        <v>11.8</v>
      </c>
    </row>
    <row r="7" spans="2:18" x14ac:dyDescent="0.35">
      <c r="B7" s="58">
        <v>42917</v>
      </c>
      <c r="C7" s="24"/>
      <c r="D7" s="24">
        <v>260.10000000000002</v>
      </c>
      <c r="E7" s="94">
        <v>1158.2</v>
      </c>
      <c r="F7" s="24">
        <v>29.34</v>
      </c>
      <c r="G7" s="24">
        <v>403.35</v>
      </c>
      <c r="H7" s="24">
        <v>67.7</v>
      </c>
      <c r="I7" s="24">
        <v>12.6</v>
      </c>
      <c r="J7" s="94">
        <v>2378.02</v>
      </c>
      <c r="K7" s="24"/>
      <c r="L7" s="24">
        <v>5.3</v>
      </c>
      <c r="M7" s="24">
        <v>38.4</v>
      </c>
      <c r="N7" s="24">
        <v>2.9</v>
      </c>
      <c r="O7" s="24">
        <v>21.7</v>
      </c>
      <c r="P7" s="24">
        <v>1.7</v>
      </c>
      <c r="Q7" s="24">
        <v>0.28000000000000003</v>
      </c>
      <c r="R7" s="24">
        <v>138.4</v>
      </c>
    </row>
    <row r="8" spans="2:18" x14ac:dyDescent="0.35">
      <c r="B8" s="58">
        <v>42948</v>
      </c>
      <c r="C8" s="24"/>
      <c r="D8" s="24">
        <v>128.9</v>
      </c>
      <c r="E8" s="24">
        <v>903</v>
      </c>
      <c r="F8" s="94">
        <v>1047</v>
      </c>
      <c r="G8" s="24">
        <v>508.03</v>
      </c>
      <c r="H8" s="24">
        <v>7.7</v>
      </c>
      <c r="I8" s="24">
        <v>27.84</v>
      </c>
      <c r="J8" s="94">
        <v>2168.63</v>
      </c>
      <c r="K8" s="24"/>
      <c r="L8" s="24">
        <v>1.3</v>
      </c>
      <c r="M8" s="24">
        <v>27.24</v>
      </c>
      <c r="N8" s="24">
        <v>4.6100000000000003</v>
      </c>
      <c r="O8" s="24">
        <v>7.4</v>
      </c>
      <c r="P8" s="24">
        <v>0.28000000000000003</v>
      </c>
      <c r="Q8" s="24">
        <v>0.12</v>
      </c>
      <c r="R8" s="24">
        <v>128.69999999999999</v>
      </c>
    </row>
    <row r="9" spans="2:18" x14ac:dyDescent="0.35">
      <c r="B9" s="58">
        <v>42979</v>
      </c>
      <c r="C9" s="24"/>
      <c r="D9" s="24">
        <v>140.4</v>
      </c>
      <c r="E9" s="24">
        <v>589.4</v>
      </c>
      <c r="F9" s="24">
        <v>39.299999999999997</v>
      </c>
      <c r="G9" s="24">
        <v>581.29999999999995</v>
      </c>
      <c r="H9" s="24">
        <v>18.899999999999999</v>
      </c>
      <c r="I9" s="24">
        <v>20.100000000000001</v>
      </c>
      <c r="J9" s="94">
        <v>2220.9</v>
      </c>
      <c r="K9" s="24"/>
      <c r="L9" s="24">
        <v>0.8</v>
      </c>
      <c r="M9" s="24">
        <v>28.4</v>
      </c>
      <c r="N9" s="24">
        <v>3.2</v>
      </c>
      <c r="O9" s="24">
        <v>21.3</v>
      </c>
      <c r="P9" s="24">
        <v>3.4</v>
      </c>
      <c r="Q9" s="24">
        <v>0.8</v>
      </c>
      <c r="R9" s="24">
        <v>64</v>
      </c>
    </row>
    <row r="10" spans="2:18" x14ac:dyDescent="0.35">
      <c r="B10" s="58">
        <v>43009</v>
      </c>
      <c r="C10" s="24"/>
      <c r="D10" s="24">
        <v>296.60000000000002</v>
      </c>
      <c r="E10" s="24">
        <v>598.4</v>
      </c>
      <c r="F10" s="24">
        <v>62.9</v>
      </c>
      <c r="G10" s="24">
        <v>499.1</v>
      </c>
      <c r="H10" s="24">
        <v>9.4</v>
      </c>
      <c r="I10" s="24">
        <v>20.8</v>
      </c>
      <c r="J10" s="94">
        <v>1017.05</v>
      </c>
      <c r="K10" s="24"/>
      <c r="L10" s="24">
        <v>45</v>
      </c>
      <c r="M10" s="24">
        <v>24</v>
      </c>
      <c r="N10" s="24">
        <v>2.5</v>
      </c>
      <c r="O10" s="24">
        <v>1.9</v>
      </c>
      <c r="P10" s="24">
        <v>0.15</v>
      </c>
      <c r="Q10" s="24">
        <v>0.13</v>
      </c>
      <c r="R10" s="24">
        <v>18.899999999999999</v>
      </c>
    </row>
    <row r="11" spans="2:18" x14ac:dyDescent="0.35">
      <c r="B11" s="58">
        <v>43040</v>
      </c>
      <c r="C11" s="24"/>
      <c r="D11" s="24">
        <v>373.4</v>
      </c>
      <c r="E11" s="24">
        <v>739.65</v>
      </c>
      <c r="F11" s="24">
        <v>86.7</v>
      </c>
      <c r="G11" s="24">
        <v>744.1</v>
      </c>
      <c r="H11" s="24">
        <v>14.73</v>
      </c>
      <c r="I11" s="24">
        <v>25.7</v>
      </c>
      <c r="J11" s="94">
        <v>1298.7</v>
      </c>
      <c r="K11" s="24"/>
      <c r="L11" s="24">
        <v>0.42</v>
      </c>
      <c r="M11" s="24">
        <v>15.6</v>
      </c>
      <c r="N11" s="24">
        <v>1.1599999999999999</v>
      </c>
      <c r="O11" s="24">
        <v>21.7</v>
      </c>
      <c r="P11" s="24">
        <v>0.01</v>
      </c>
      <c r="Q11" s="24">
        <v>0.01</v>
      </c>
      <c r="R11" s="24">
        <v>28.52</v>
      </c>
    </row>
    <row r="12" spans="2:18" x14ac:dyDescent="0.35">
      <c r="B12" s="58">
        <v>43070</v>
      </c>
      <c r="C12" s="136"/>
      <c r="D12" s="136">
        <v>169.7</v>
      </c>
      <c r="E12" s="136">
        <v>830.5</v>
      </c>
      <c r="F12" s="136">
        <v>69</v>
      </c>
      <c r="G12" s="136">
        <v>568.6</v>
      </c>
      <c r="H12" s="136">
        <v>11.5</v>
      </c>
      <c r="I12" s="136">
        <v>23.99</v>
      </c>
      <c r="J12" s="137">
        <v>2346.09</v>
      </c>
      <c r="K12" s="136"/>
      <c r="L12" s="136">
        <v>0.6</v>
      </c>
      <c r="M12" s="136">
        <v>17.04</v>
      </c>
      <c r="N12" s="136">
        <v>0.62</v>
      </c>
      <c r="O12" s="136">
        <v>23.73</v>
      </c>
      <c r="P12" s="136">
        <v>0.21</v>
      </c>
      <c r="Q12" s="136">
        <v>0.18</v>
      </c>
      <c r="R12" s="136">
        <v>36.130000000000003</v>
      </c>
    </row>
    <row r="13" spans="2:18" x14ac:dyDescent="0.35">
      <c r="B13" s="58">
        <v>43101</v>
      </c>
      <c r="C13" s="136"/>
      <c r="D13" s="136">
        <v>163.71</v>
      </c>
      <c r="E13" s="136">
        <v>897</v>
      </c>
      <c r="F13" s="136">
        <v>81.760000000000005</v>
      </c>
      <c r="G13" s="136">
        <v>523.58000000000004</v>
      </c>
      <c r="H13" s="136">
        <v>10.029999999999999</v>
      </c>
      <c r="I13" s="136">
        <v>23.14</v>
      </c>
      <c r="J13" s="137">
        <v>1742.38</v>
      </c>
      <c r="K13" s="136"/>
      <c r="L13" s="136">
        <v>0.01</v>
      </c>
      <c r="M13" s="136">
        <v>10.46</v>
      </c>
      <c r="N13" s="136">
        <v>1.08</v>
      </c>
      <c r="O13" s="136">
        <v>9.06</v>
      </c>
      <c r="P13" s="136" t="s">
        <v>71</v>
      </c>
      <c r="Q13" s="136">
        <v>0.06</v>
      </c>
      <c r="R13" s="136">
        <v>13.21</v>
      </c>
    </row>
    <row r="14" spans="2:18" x14ac:dyDescent="0.35">
      <c r="B14" s="58">
        <v>43132</v>
      </c>
      <c r="C14" s="136"/>
      <c r="D14" s="136">
        <v>81.599999999999994</v>
      </c>
      <c r="E14" s="137">
        <v>1271.08</v>
      </c>
      <c r="F14" s="136">
        <v>38.869999999999997</v>
      </c>
      <c r="G14" s="136">
        <v>810.26</v>
      </c>
      <c r="H14" s="136">
        <v>11.86</v>
      </c>
      <c r="I14" s="136">
        <v>18.05</v>
      </c>
      <c r="J14" s="137">
        <v>1822.21</v>
      </c>
      <c r="K14" s="136"/>
      <c r="L14" s="136">
        <v>11.9</v>
      </c>
      <c r="M14" s="136">
        <v>70.099999999999994</v>
      </c>
      <c r="N14" s="136">
        <v>0.35</v>
      </c>
      <c r="O14" s="136">
        <v>13.19</v>
      </c>
      <c r="P14" s="136">
        <v>1.22</v>
      </c>
      <c r="Q14" s="136">
        <v>0.31</v>
      </c>
      <c r="R14" s="136">
        <v>40.75</v>
      </c>
    </row>
    <row r="15" spans="2:18" x14ac:dyDescent="0.35">
      <c r="B15" s="58">
        <v>43160</v>
      </c>
      <c r="C15" s="136"/>
      <c r="D15" s="136">
        <v>48.55</v>
      </c>
      <c r="E15" s="136">
        <v>663.33</v>
      </c>
      <c r="F15" s="136">
        <v>60.86</v>
      </c>
      <c r="G15" s="136">
        <v>391.18</v>
      </c>
      <c r="H15" s="136">
        <v>14.83</v>
      </c>
      <c r="I15" s="136">
        <v>8.27</v>
      </c>
      <c r="J15" s="137">
        <v>1574.82</v>
      </c>
      <c r="K15" s="136"/>
      <c r="L15" s="136">
        <v>8.01</v>
      </c>
      <c r="M15" s="136">
        <v>27.74</v>
      </c>
      <c r="N15" s="136">
        <v>15.79</v>
      </c>
      <c r="O15" s="136">
        <v>35.47</v>
      </c>
      <c r="P15" s="136">
        <v>2.36</v>
      </c>
      <c r="Q15" s="136">
        <v>0.55000000000000004</v>
      </c>
      <c r="R15" s="136">
        <v>63.47</v>
      </c>
    </row>
    <row r="16" spans="2:18" x14ac:dyDescent="0.35">
      <c r="B16" s="58">
        <v>43191</v>
      </c>
      <c r="C16" s="136"/>
      <c r="D16" s="136">
        <v>111.4</v>
      </c>
      <c r="E16" s="136">
        <v>968.6</v>
      </c>
      <c r="F16" s="136">
        <v>40.99</v>
      </c>
      <c r="G16" s="136">
        <v>653.94000000000005</v>
      </c>
      <c r="H16" s="136">
        <v>4.66</v>
      </c>
      <c r="I16" s="136">
        <v>30.64</v>
      </c>
      <c r="J16" s="137">
        <v>1659.62</v>
      </c>
      <c r="K16" s="136"/>
      <c r="L16" s="136">
        <v>0.18</v>
      </c>
      <c r="M16" s="136">
        <v>59.78</v>
      </c>
      <c r="N16" s="136">
        <v>0.52</v>
      </c>
      <c r="O16" s="136">
        <v>15</v>
      </c>
      <c r="P16" s="136">
        <v>1.33</v>
      </c>
      <c r="Q16" s="136">
        <v>9.07</v>
      </c>
      <c r="R16" s="136">
        <v>21.01</v>
      </c>
    </row>
    <row r="17" spans="2:18" x14ac:dyDescent="0.35">
      <c r="B17" s="58">
        <v>43221</v>
      </c>
      <c r="C17" s="136"/>
      <c r="D17" s="136">
        <v>204.66</v>
      </c>
      <c r="E17" s="137">
        <v>1093.24</v>
      </c>
      <c r="F17" s="136">
        <v>43.78</v>
      </c>
      <c r="G17" s="136">
        <v>843.03</v>
      </c>
      <c r="H17" s="136">
        <v>7.85</v>
      </c>
      <c r="I17" s="136">
        <v>6.56</v>
      </c>
      <c r="J17" s="137">
        <v>1981.77</v>
      </c>
      <c r="K17" s="136"/>
      <c r="L17" s="136">
        <v>112.45</v>
      </c>
      <c r="M17" s="136">
        <v>22.76</v>
      </c>
      <c r="N17" s="136">
        <v>1.1599999999999999</v>
      </c>
      <c r="O17" s="136">
        <v>6.31</v>
      </c>
      <c r="P17" s="136">
        <v>5.84</v>
      </c>
      <c r="Q17" s="136">
        <v>0.22</v>
      </c>
      <c r="R17" s="136">
        <v>90.39</v>
      </c>
    </row>
    <row r="18" spans="2:18" x14ac:dyDescent="0.35">
      <c r="B18" s="58">
        <v>43252</v>
      </c>
      <c r="C18" s="136"/>
      <c r="D18" s="136">
        <v>138.47</v>
      </c>
      <c r="E18" s="136">
        <v>865.65</v>
      </c>
      <c r="F18" s="136">
        <v>78.06</v>
      </c>
      <c r="G18" s="136">
        <v>563.63</v>
      </c>
      <c r="H18" s="136">
        <v>14.64</v>
      </c>
      <c r="I18" s="136">
        <v>10.09</v>
      </c>
      <c r="J18" s="137">
        <v>2148.0700000000002</v>
      </c>
      <c r="K18" s="136"/>
      <c r="L18" s="136">
        <v>2.85</v>
      </c>
      <c r="M18" s="136">
        <v>12.14</v>
      </c>
      <c r="N18" s="136">
        <v>11.52</v>
      </c>
      <c r="O18" s="136">
        <v>20.49</v>
      </c>
      <c r="P18" s="136">
        <v>9.1999999999999993</v>
      </c>
      <c r="Q18" s="136">
        <v>0.15</v>
      </c>
      <c r="R18" s="136">
        <v>43.91</v>
      </c>
    </row>
    <row r="19" spans="2:18" x14ac:dyDescent="0.35">
      <c r="B19" s="58">
        <v>43282</v>
      </c>
      <c r="C19" s="136"/>
      <c r="D19" s="136">
        <v>104.43</v>
      </c>
      <c r="E19" s="137">
        <v>1259.76</v>
      </c>
      <c r="F19" s="136">
        <v>56.09</v>
      </c>
      <c r="G19" s="136">
        <v>876.14</v>
      </c>
      <c r="H19" s="136">
        <v>12.45</v>
      </c>
      <c r="I19" s="136">
        <v>45.61</v>
      </c>
      <c r="J19" s="137">
        <v>2762.25</v>
      </c>
      <c r="K19" s="136"/>
      <c r="L19" s="136">
        <v>0.93</v>
      </c>
      <c r="M19" s="136">
        <v>28.1</v>
      </c>
      <c r="N19" s="136">
        <v>2.85</v>
      </c>
      <c r="O19" s="136">
        <v>52.71</v>
      </c>
      <c r="P19" s="136">
        <v>0.09</v>
      </c>
      <c r="Q19" s="136">
        <v>7.0000000000000007E-2</v>
      </c>
      <c r="R19" s="136">
        <v>82.25</v>
      </c>
    </row>
    <row r="20" spans="2:18" x14ac:dyDescent="0.35">
      <c r="B20" s="58">
        <v>43313</v>
      </c>
      <c r="C20" s="136"/>
      <c r="D20" s="136">
        <v>147.57</v>
      </c>
      <c r="E20" s="137">
        <v>1321.71</v>
      </c>
      <c r="F20" s="136">
        <v>49.62</v>
      </c>
      <c r="G20" s="136">
        <v>775.11</v>
      </c>
      <c r="H20" s="136">
        <v>26.62</v>
      </c>
      <c r="I20" s="136">
        <v>30.89</v>
      </c>
      <c r="J20" s="137">
        <v>2341.38</v>
      </c>
      <c r="K20" s="136"/>
      <c r="L20" s="136">
        <v>3.89</v>
      </c>
      <c r="M20" s="136">
        <v>8.4700000000000006</v>
      </c>
      <c r="N20" s="136">
        <v>1.49</v>
      </c>
      <c r="O20" s="136">
        <v>1.25</v>
      </c>
      <c r="P20" s="136">
        <v>0</v>
      </c>
      <c r="Q20" s="136">
        <v>0.09</v>
      </c>
      <c r="R20" s="136">
        <v>117.56</v>
      </c>
    </row>
    <row r="21" spans="2:18" x14ac:dyDescent="0.35">
      <c r="B21" s="58">
        <v>43344</v>
      </c>
      <c r="C21" s="136"/>
      <c r="D21" s="136">
        <v>232.83</v>
      </c>
      <c r="E21" s="136">
        <v>601.79999999999995</v>
      </c>
      <c r="F21" s="136">
        <v>68.88</v>
      </c>
      <c r="G21" s="136">
        <v>591.03</v>
      </c>
      <c r="H21" s="136">
        <v>17.420000000000002</v>
      </c>
      <c r="I21" s="136">
        <v>14.31</v>
      </c>
      <c r="J21" s="137">
        <v>2206.31</v>
      </c>
      <c r="K21" s="136"/>
      <c r="L21" s="136">
        <v>7.08</v>
      </c>
      <c r="M21" s="136">
        <v>25.37</v>
      </c>
      <c r="N21" s="136">
        <v>11.7</v>
      </c>
      <c r="O21" s="136">
        <v>21.77</v>
      </c>
      <c r="P21" s="136">
        <v>0.2</v>
      </c>
      <c r="Q21" s="136">
        <v>0.41</v>
      </c>
      <c r="R21" s="136">
        <v>33.4</v>
      </c>
    </row>
    <row r="22" spans="2:18" x14ac:dyDescent="0.35">
      <c r="B22" s="58">
        <v>43374</v>
      </c>
      <c r="C22" s="136"/>
      <c r="D22" s="136">
        <v>59.04</v>
      </c>
      <c r="E22" s="136">
        <v>831.79</v>
      </c>
      <c r="F22" s="136">
        <v>49.28</v>
      </c>
      <c r="G22" s="136">
        <v>582.63</v>
      </c>
      <c r="H22" s="136">
        <v>24.23</v>
      </c>
      <c r="I22" s="136">
        <v>16.97</v>
      </c>
      <c r="J22" s="137">
        <v>1453.03</v>
      </c>
      <c r="K22" s="136"/>
      <c r="L22" s="136">
        <v>0.27</v>
      </c>
      <c r="M22" s="136">
        <v>27.59</v>
      </c>
      <c r="N22" s="136" t="s">
        <v>71</v>
      </c>
      <c r="O22" s="136">
        <v>26.23</v>
      </c>
      <c r="P22" s="136">
        <v>0.05</v>
      </c>
      <c r="Q22" s="136">
        <v>0.16</v>
      </c>
      <c r="R22" s="136">
        <v>9.76</v>
      </c>
    </row>
    <row r="23" spans="2:18" x14ac:dyDescent="0.35">
      <c r="B23" s="58">
        <v>43405</v>
      </c>
      <c r="C23" s="136"/>
      <c r="D23" s="136">
        <v>101.24</v>
      </c>
      <c r="E23" s="136">
        <v>1274.83</v>
      </c>
      <c r="F23" s="136">
        <v>58.18</v>
      </c>
      <c r="G23" s="136">
        <v>993.44</v>
      </c>
      <c r="H23" s="136">
        <v>458.31</v>
      </c>
      <c r="I23" s="136">
        <v>331.65</v>
      </c>
      <c r="J23" s="137">
        <v>3507.65</v>
      </c>
      <c r="K23" s="136"/>
      <c r="L23" s="136">
        <v>3.24</v>
      </c>
      <c r="M23" s="136">
        <v>22.32</v>
      </c>
      <c r="N23" s="136">
        <v>1.45</v>
      </c>
      <c r="O23" s="136">
        <v>0.46</v>
      </c>
      <c r="P23" s="136">
        <v>0.03</v>
      </c>
      <c r="Q23" s="136">
        <v>0.02</v>
      </c>
      <c r="R23" s="136">
        <v>39.200000000000003</v>
      </c>
    </row>
    <row r="24" spans="2:18" x14ac:dyDescent="0.35">
      <c r="B24" s="58">
        <v>43435</v>
      </c>
      <c r="C24" s="136"/>
      <c r="D24" s="136">
        <v>722.12</v>
      </c>
      <c r="E24" s="136">
        <v>681.6</v>
      </c>
      <c r="F24" s="136">
        <v>41.68</v>
      </c>
      <c r="G24" s="136">
        <v>469.56</v>
      </c>
      <c r="H24" s="136">
        <v>25.62</v>
      </c>
      <c r="I24" s="136">
        <v>22.06</v>
      </c>
      <c r="J24" s="137">
        <v>2314.89</v>
      </c>
      <c r="K24" s="136"/>
      <c r="L24" s="136">
        <v>3.97</v>
      </c>
      <c r="M24" s="136">
        <v>32.22</v>
      </c>
      <c r="N24" s="136">
        <v>1.53</v>
      </c>
      <c r="O24" s="136">
        <v>9.7899999999999991</v>
      </c>
      <c r="P24" s="136">
        <v>1.63</v>
      </c>
      <c r="Q24" s="136">
        <v>0.22</v>
      </c>
      <c r="R24" s="136">
        <v>23.94</v>
      </c>
    </row>
    <row r="25" spans="2:18" x14ac:dyDescent="0.35">
      <c r="B25" s="58">
        <v>43466</v>
      </c>
      <c r="C25" s="24"/>
      <c r="D25" s="9">
        <v>91.44</v>
      </c>
      <c r="E25" s="63">
        <v>1388.08</v>
      </c>
      <c r="F25" s="9">
        <v>65.45</v>
      </c>
      <c r="G25" s="9">
        <v>784.62</v>
      </c>
      <c r="H25" s="9">
        <v>18.96</v>
      </c>
      <c r="I25" s="9">
        <v>21.67</v>
      </c>
      <c r="J25" s="63">
        <v>4480.0200000000004</v>
      </c>
      <c r="K25" s="9"/>
      <c r="L25" s="9">
        <v>8.09</v>
      </c>
      <c r="M25" s="9">
        <v>17.899999999999999</v>
      </c>
      <c r="N25" s="9">
        <v>1.5</v>
      </c>
      <c r="O25" s="9">
        <v>2.71</v>
      </c>
      <c r="P25" s="9">
        <v>0.01</v>
      </c>
      <c r="Q25" s="9">
        <v>0.02</v>
      </c>
      <c r="R25" s="9">
        <v>49.42</v>
      </c>
    </row>
    <row r="26" spans="2:18" x14ac:dyDescent="0.35">
      <c r="B26" s="58">
        <v>43497</v>
      </c>
      <c r="C26" s="24"/>
      <c r="D26" s="9">
        <v>187.3</v>
      </c>
      <c r="E26" s="63">
        <v>1152.82</v>
      </c>
      <c r="F26" s="9">
        <v>50.88</v>
      </c>
      <c r="G26" s="9">
        <v>635.53</v>
      </c>
      <c r="H26" s="9">
        <v>29.3</v>
      </c>
      <c r="I26" s="9">
        <v>23.53</v>
      </c>
      <c r="J26" s="63">
        <v>1947.48</v>
      </c>
      <c r="K26" s="9"/>
      <c r="L26" s="9">
        <v>5.29</v>
      </c>
      <c r="M26" s="9">
        <v>60.84</v>
      </c>
      <c r="N26" s="9">
        <v>7.41</v>
      </c>
      <c r="O26" s="9">
        <v>41.17</v>
      </c>
      <c r="P26" s="9">
        <v>0.01</v>
      </c>
      <c r="Q26" s="9">
        <v>0.01</v>
      </c>
      <c r="R26" s="9">
        <v>60.03</v>
      </c>
    </row>
    <row r="27" spans="2:18" x14ac:dyDescent="0.35">
      <c r="B27" s="58">
        <v>43525</v>
      </c>
      <c r="C27" s="24"/>
      <c r="D27" s="9">
        <v>183.86</v>
      </c>
      <c r="E27" s="63">
        <v>2002.55</v>
      </c>
      <c r="F27" s="9">
        <v>77.66</v>
      </c>
      <c r="G27" s="9">
        <v>719.59</v>
      </c>
      <c r="H27" s="9">
        <v>26.55</v>
      </c>
      <c r="I27" s="9">
        <v>17.170000000000002</v>
      </c>
      <c r="J27" s="63">
        <v>1367.73</v>
      </c>
      <c r="K27" s="9"/>
      <c r="L27" s="9">
        <v>0.34</v>
      </c>
      <c r="M27" s="9">
        <v>74.66</v>
      </c>
      <c r="N27" s="9">
        <v>1.28</v>
      </c>
      <c r="O27" s="9">
        <v>3.47</v>
      </c>
      <c r="P27" s="9">
        <v>0.03</v>
      </c>
      <c r="Q27" s="9">
        <v>0.24</v>
      </c>
      <c r="R27" s="9">
        <v>21.88</v>
      </c>
    </row>
    <row r="28" spans="2:18" x14ac:dyDescent="0.35">
      <c r="B28" s="58">
        <v>43556</v>
      </c>
      <c r="C28" s="24"/>
      <c r="D28" s="9">
        <v>246.84</v>
      </c>
      <c r="E28" s="63">
        <v>2369.65</v>
      </c>
      <c r="F28" s="9">
        <v>27.3</v>
      </c>
      <c r="G28" s="9">
        <v>663.28</v>
      </c>
      <c r="H28" s="9">
        <v>15.91</v>
      </c>
      <c r="I28" s="9">
        <v>26.06</v>
      </c>
      <c r="J28" s="63">
        <v>1346.14</v>
      </c>
      <c r="K28" s="9"/>
      <c r="L28" s="9">
        <v>11.02</v>
      </c>
      <c r="M28" s="9">
        <v>25.38</v>
      </c>
      <c r="N28" s="9">
        <v>5.18</v>
      </c>
      <c r="O28" s="9">
        <v>3.32</v>
      </c>
      <c r="P28" s="9">
        <v>0.48</v>
      </c>
      <c r="Q28" s="9">
        <v>0.05</v>
      </c>
      <c r="R28" s="9">
        <v>114.91</v>
      </c>
    </row>
    <row r="29" spans="2:18" x14ac:dyDescent="0.35">
      <c r="B29" s="58">
        <v>43586</v>
      </c>
      <c r="C29" s="24"/>
      <c r="D29" s="9">
        <v>371.89</v>
      </c>
      <c r="E29" s="63">
        <v>1349.49</v>
      </c>
      <c r="F29" s="9">
        <v>68.510000000000005</v>
      </c>
      <c r="G29" s="9">
        <v>739.52</v>
      </c>
      <c r="H29" s="9">
        <v>19.14</v>
      </c>
      <c r="I29" s="9">
        <v>28.2</v>
      </c>
      <c r="J29" s="63">
        <v>1778.31</v>
      </c>
      <c r="K29" s="9"/>
      <c r="L29" s="9">
        <v>4.4400000000000004</v>
      </c>
      <c r="M29" s="9">
        <v>45.41</v>
      </c>
      <c r="N29" s="9">
        <v>0.03</v>
      </c>
      <c r="O29" s="9">
        <v>4.0199999999999996</v>
      </c>
      <c r="P29" s="9">
        <v>1.45</v>
      </c>
      <c r="Q29" s="9">
        <v>0</v>
      </c>
      <c r="R29" s="9">
        <v>23.47</v>
      </c>
    </row>
    <row r="30" spans="2:18" x14ac:dyDescent="0.35">
      <c r="B30" s="58">
        <v>43617</v>
      </c>
      <c r="C30" s="24"/>
      <c r="D30" s="9">
        <v>39.82</v>
      </c>
      <c r="E30" s="9">
        <v>755.49</v>
      </c>
      <c r="F30" s="9">
        <v>36.1</v>
      </c>
      <c r="G30" s="9">
        <v>624.26</v>
      </c>
      <c r="H30" s="9">
        <v>40.020000000000003</v>
      </c>
      <c r="I30" s="9">
        <v>24.86</v>
      </c>
      <c r="J30" s="9">
        <v>927.17</v>
      </c>
      <c r="K30" s="9"/>
      <c r="L30" s="9">
        <v>0.23</v>
      </c>
      <c r="M30" s="9">
        <v>87.61</v>
      </c>
      <c r="N30" s="9">
        <v>6.92</v>
      </c>
      <c r="O30" s="9">
        <v>14.4</v>
      </c>
      <c r="P30" s="9">
        <v>3.57</v>
      </c>
      <c r="Q30" s="9">
        <v>0.04</v>
      </c>
      <c r="R30" s="9">
        <v>15</v>
      </c>
    </row>
    <row r="31" spans="2:18" x14ac:dyDescent="0.35">
      <c r="B31" s="58">
        <v>43647</v>
      </c>
      <c r="C31" s="24"/>
      <c r="D31" s="9">
        <v>511.73</v>
      </c>
      <c r="E31" s="9">
        <v>819.14</v>
      </c>
      <c r="F31" s="9">
        <v>15.09</v>
      </c>
      <c r="G31" s="9">
        <v>989.59</v>
      </c>
      <c r="H31" s="9">
        <v>46.45</v>
      </c>
      <c r="I31" s="9">
        <v>21.57</v>
      </c>
      <c r="J31" s="9">
        <v>1128.1300000000001</v>
      </c>
      <c r="K31" s="9"/>
      <c r="L31" s="9">
        <v>0.7</v>
      </c>
      <c r="M31" s="9">
        <v>74.03</v>
      </c>
      <c r="N31" s="9">
        <v>4.37</v>
      </c>
      <c r="O31" s="9">
        <v>28.44</v>
      </c>
      <c r="P31" s="9">
        <v>1.28</v>
      </c>
      <c r="Q31" s="9">
        <v>0.64</v>
      </c>
      <c r="R31" s="9">
        <v>342.64</v>
      </c>
    </row>
    <row r="32" spans="2:18" x14ac:dyDescent="0.35">
      <c r="B32" s="58">
        <v>43678</v>
      </c>
      <c r="C32" s="24"/>
      <c r="D32" s="9">
        <v>23.71</v>
      </c>
      <c r="E32" s="9">
        <v>201.83</v>
      </c>
      <c r="F32" s="9">
        <v>11.28</v>
      </c>
      <c r="G32" s="9">
        <v>959.63</v>
      </c>
      <c r="H32" s="9">
        <v>22.43</v>
      </c>
      <c r="I32" s="9">
        <v>13.44</v>
      </c>
      <c r="J32" s="9">
        <v>503.78</v>
      </c>
      <c r="K32" s="9"/>
      <c r="L32" s="9">
        <v>0.92</v>
      </c>
      <c r="M32" s="9">
        <v>37.18</v>
      </c>
      <c r="N32" s="9">
        <v>1.61</v>
      </c>
      <c r="O32" s="9">
        <v>21.41</v>
      </c>
      <c r="P32" s="9">
        <v>1.75</v>
      </c>
      <c r="Q32" s="9">
        <v>0</v>
      </c>
      <c r="R32" s="9">
        <v>1.35</v>
      </c>
    </row>
    <row r="33" spans="2:18" x14ac:dyDescent="0.35">
      <c r="B33" s="58">
        <v>43709</v>
      </c>
      <c r="C33" s="24"/>
      <c r="D33" s="9">
        <v>55.94</v>
      </c>
      <c r="E33" s="9">
        <v>382.86</v>
      </c>
      <c r="F33" s="9">
        <v>5.6</v>
      </c>
      <c r="G33" s="9">
        <v>700.62</v>
      </c>
      <c r="H33" s="9">
        <v>29.61</v>
      </c>
      <c r="I33" s="9">
        <v>13.32</v>
      </c>
      <c r="J33" s="9">
        <v>617.21</v>
      </c>
      <c r="K33" s="9"/>
      <c r="L33" s="9">
        <v>32.22</v>
      </c>
      <c r="M33" s="9">
        <v>0.47</v>
      </c>
      <c r="N33" s="9">
        <v>0</v>
      </c>
      <c r="O33" s="9">
        <v>43.73</v>
      </c>
      <c r="P33" s="9">
        <v>3.72</v>
      </c>
      <c r="Q33" s="9">
        <v>0.23</v>
      </c>
      <c r="R33" s="9">
        <v>11.28</v>
      </c>
    </row>
    <row r="34" spans="2:18" x14ac:dyDescent="0.35">
      <c r="B34" s="58">
        <v>43739</v>
      </c>
      <c r="C34" s="24"/>
      <c r="D34" s="9">
        <v>137.1</v>
      </c>
      <c r="E34" s="63">
        <v>1751.45</v>
      </c>
      <c r="F34" s="9">
        <v>55.11</v>
      </c>
      <c r="G34" s="9">
        <v>1091.1099999999999</v>
      </c>
      <c r="H34" s="9">
        <v>18.5</v>
      </c>
      <c r="I34" s="9">
        <v>2.72</v>
      </c>
      <c r="J34" s="63">
        <v>2539.21</v>
      </c>
      <c r="K34" s="9"/>
      <c r="L34" s="9">
        <v>1.47</v>
      </c>
      <c r="M34" s="9">
        <v>28</v>
      </c>
      <c r="N34" s="9">
        <v>7.19</v>
      </c>
      <c r="O34" s="9">
        <v>21.87</v>
      </c>
      <c r="P34" s="9">
        <v>1.79</v>
      </c>
      <c r="Q34" s="9">
        <v>0.22</v>
      </c>
      <c r="R34" s="9">
        <v>42.38</v>
      </c>
    </row>
    <row r="35" spans="2:18" x14ac:dyDescent="0.35">
      <c r="B35" s="58">
        <v>43770</v>
      </c>
      <c r="C35" s="24"/>
      <c r="D35" s="24">
        <v>504.5</v>
      </c>
      <c r="E35" s="94">
        <v>1326.39</v>
      </c>
      <c r="F35" s="24">
        <v>47.01</v>
      </c>
      <c r="G35" s="24">
        <v>658.67</v>
      </c>
      <c r="H35" s="24">
        <v>27.57</v>
      </c>
      <c r="I35" s="24">
        <v>158.5</v>
      </c>
      <c r="J35" s="94">
        <v>3008.67</v>
      </c>
      <c r="K35" s="24"/>
      <c r="L35" s="24">
        <v>0</v>
      </c>
      <c r="M35" s="24">
        <v>22.88</v>
      </c>
      <c r="N35" s="24">
        <v>1.76</v>
      </c>
      <c r="O35" s="24">
        <v>19.77</v>
      </c>
      <c r="P35" s="24">
        <v>1.18</v>
      </c>
      <c r="Q35" s="24">
        <v>0.14000000000000001</v>
      </c>
      <c r="R35" s="24">
        <v>26.55</v>
      </c>
    </row>
    <row r="36" spans="2:18" x14ac:dyDescent="0.35">
      <c r="B36" s="58">
        <v>43800</v>
      </c>
      <c r="C36" s="24"/>
      <c r="D36" s="24">
        <v>192.34</v>
      </c>
      <c r="E36" s="94">
        <v>1488.13</v>
      </c>
      <c r="F36" s="24">
        <v>76.64</v>
      </c>
      <c r="G36" s="24">
        <v>933.97</v>
      </c>
      <c r="H36" s="24">
        <v>8.17</v>
      </c>
      <c r="I36" s="24">
        <v>330.24</v>
      </c>
      <c r="J36" s="94">
        <v>2178.71</v>
      </c>
      <c r="K36" s="24"/>
      <c r="L36" s="24">
        <v>0</v>
      </c>
      <c r="M36" s="24">
        <v>21.3</v>
      </c>
      <c r="N36" s="24">
        <v>1.65</v>
      </c>
      <c r="O36" s="24">
        <v>1.47</v>
      </c>
      <c r="P36" s="24">
        <v>2.3199999999999998</v>
      </c>
      <c r="Q36" s="24">
        <v>0.43</v>
      </c>
      <c r="R36" s="24">
        <v>5.97</v>
      </c>
    </row>
    <row r="37" spans="2:18" x14ac:dyDescent="0.35">
      <c r="B37" s="58">
        <v>43831</v>
      </c>
      <c r="C37" s="24"/>
      <c r="D37" s="24">
        <v>84.29</v>
      </c>
      <c r="E37" s="94">
        <v>1367.33</v>
      </c>
      <c r="F37" s="24">
        <v>49.87</v>
      </c>
      <c r="G37" s="94">
        <v>1003.35</v>
      </c>
      <c r="H37" s="24">
        <v>29.31</v>
      </c>
      <c r="I37" s="24">
        <v>32.74</v>
      </c>
      <c r="J37" s="94">
        <v>2754.9</v>
      </c>
      <c r="K37" s="24"/>
      <c r="L37" s="24">
        <v>8.32</v>
      </c>
      <c r="M37" s="24">
        <v>17.36</v>
      </c>
      <c r="N37" s="24">
        <v>1.39</v>
      </c>
      <c r="O37" s="24">
        <v>2.97</v>
      </c>
      <c r="P37" s="24" t="s">
        <v>71</v>
      </c>
      <c r="Q37" s="24">
        <v>0.01</v>
      </c>
      <c r="R37" s="24">
        <v>20.49</v>
      </c>
    </row>
    <row r="38" spans="2:18" x14ac:dyDescent="0.35">
      <c r="B38" s="58">
        <v>43862</v>
      </c>
      <c r="C38" s="24"/>
      <c r="D38" s="24">
        <v>79.900000000000006</v>
      </c>
      <c r="E38" s="24">
        <v>707.23</v>
      </c>
      <c r="F38" s="24">
        <v>45.53</v>
      </c>
      <c r="G38" s="24">
        <v>751.91</v>
      </c>
      <c r="H38" s="24">
        <v>39.89</v>
      </c>
      <c r="I38" s="24">
        <v>14.1</v>
      </c>
      <c r="J38" s="94">
        <v>1151.53</v>
      </c>
      <c r="K38" s="24"/>
      <c r="L38" s="24">
        <v>0.17</v>
      </c>
      <c r="M38" s="24">
        <v>56.13</v>
      </c>
      <c r="N38" s="24">
        <v>7.0000000000000007E-2</v>
      </c>
      <c r="O38" s="24">
        <v>2.23</v>
      </c>
      <c r="P38" s="24">
        <v>0.05</v>
      </c>
      <c r="Q38" s="24">
        <v>7.0000000000000007E-2</v>
      </c>
      <c r="R38" s="24">
        <v>23.6</v>
      </c>
    </row>
    <row r="39" spans="2:18" x14ac:dyDescent="0.35">
      <c r="B39" s="58">
        <v>43891</v>
      </c>
      <c r="C39" s="24"/>
      <c r="D39" s="24">
        <v>113.4</v>
      </c>
      <c r="E39" s="94">
        <v>1267.9100000000001</v>
      </c>
      <c r="F39" s="24">
        <v>64.900000000000006</v>
      </c>
      <c r="G39" s="24">
        <v>482.14</v>
      </c>
      <c r="H39" s="24">
        <v>13.47</v>
      </c>
      <c r="I39" s="24">
        <v>9.67</v>
      </c>
      <c r="J39" s="94">
        <v>1829.69</v>
      </c>
      <c r="K39" s="24"/>
      <c r="L39" s="24">
        <v>31.65</v>
      </c>
      <c r="M39" s="24">
        <v>101.57</v>
      </c>
      <c r="N39" s="24">
        <v>1.81</v>
      </c>
      <c r="O39" s="24">
        <v>7.63</v>
      </c>
      <c r="P39" s="24" t="s">
        <v>71</v>
      </c>
      <c r="Q39" s="24">
        <v>0.04</v>
      </c>
      <c r="R39" s="24">
        <v>41.51</v>
      </c>
    </row>
    <row r="40" spans="2:18" x14ac:dyDescent="0.35">
      <c r="B40" s="58">
        <v>43922</v>
      </c>
      <c r="C40" s="24"/>
      <c r="D40" s="24">
        <v>113.81</v>
      </c>
      <c r="E40" s="94">
        <v>1170.54</v>
      </c>
      <c r="F40" s="24">
        <v>30.44</v>
      </c>
      <c r="G40" s="24">
        <v>537.36</v>
      </c>
      <c r="H40" s="24">
        <v>14.7</v>
      </c>
      <c r="I40" s="24">
        <v>5.95</v>
      </c>
      <c r="J40" s="24">
        <v>739.03</v>
      </c>
      <c r="K40" s="24"/>
      <c r="L40" s="24">
        <v>1.83</v>
      </c>
      <c r="M40" s="24">
        <v>67.459999999999994</v>
      </c>
      <c r="N40" s="24">
        <v>0.87</v>
      </c>
      <c r="O40" s="24">
        <v>46.94</v>
      </c>
      <c r="P40" s="24">
        <v>1.47</v>
      </c>
      <c r="Q40" s="24">
        <v>0.14000000000000001</v>
      </c>
      <c r="R40" s="24">
        <v>24.15</v>
      </c>
    </row>
    <row r="41" spans="2:18" x14ac:dyDescent="0.35">
      <c r="B41" s="58">
        <v>43952</v>
      </c>
      <c r="C41" s="24"/>
      <c r="D41" s="24">
        <v>51.85</v>
      </c>
      <c r="E41" s="24">
        <v>998.67</v>
      </c>
      <c r="F41" s="24">
        <v>62.36</v>
      </c>
      <c r="G41" s="24">
        <v>691.5</v>
      </c>
      <c r="H41" s="24">
        <v>14.99</v>
      </c>
      <c r="I41" s="24">
        <v>12.62</v>
      </c>
      <c r="J41" s="94">
        <v>1589.56</v>
      </c>
      <c r="K41" s="24"/>
      <c r="L41" s="24">
        <v>2.77</v>
      </c>
      <c r="M41" s="24">
        <v>31.97</v>
      </c>
      <c r="N41" s="24">
        <v>0.94</v>
      </c>
      <c r="O41" s="24">
        <v>5.31</v>
      </c>
      <c r="P41" s="24">
        <v>3.78</v>
      </c>
      <c r="Q41" s="24">
        <v>0</v>
      </c>
      <c r="R41" s="24">
        <v>4.09</v>
      </c>
    </row>
    <row r="42" spans="2:18" x14ac:dyDescent="0.35">
      <c r="B42" s="58">
        <v>43983</v>
      </c>
      <c r="C42" s="24"/>
      <c r="D42" s="24">
        <v>39.619999999999997</v>
      </c>
      <c r="E42" s="94">
        <v>1598.26</v>
      </c>
      <c r="F42" s="24">
        <v>80.64</v>
      </c>
      <c r="G42" s="24">
        <v>980.01</v>
      </c>
      <c r="H42" s="24">
        <v>32.270000000000003</v>
      </c>
      <c r="I42" s="24">
        <v>17.97</v>
      </c>
      <c r="J42" s="94">
        <v>2651.51</v>
      </c>
      <c r="K42" s="24"/>
      <c r="L42" s="24">
        <v>7.57</v>
      </c>
      <c r="M42" s="24">
        <v>53.99</v>
      </c>
      <c r="N42" s="24">
        <v>5.19</v>
      </c>
      <c r="O42" s="24">
        <v>1.07</v>
      </c>
      <c r="P42" s="24">
        <v>4.0000000000000001E-3</v>
      </c>
      <c r="Q42" s="24">
        <v>7.0000000000000007E-2</v>
      </c>
      <c r="R42" s="24">
        <v>13.93</v>
      </c>
    </row>
    <row r="43" spans="2:18" x14ac:dyDescent="0.35">
      <c r="B43" s="58">
        <v>44013</v>
      </c>
      <c r="C43" s="24"/>
      <c r="D43" s="24">
        <v>168.26</v>
      </c>
      <c r="E43" s="94">
        <v>1386.4</v>
      </c>
      <c r="F43" s="24">
        <v>117.36</v>
      </c>
      <c r="G43" s="94">
        <v>1177.44</v>
      </c>
      <c r="H43" s="24">
        <v>29.29</v>
      </c>
      <c r="I43" s="24">
        <v>158.35</v>
      </c>
      <c r="J43" s="94">
        <v>3115.44</v>
      </c>
      <c r="K43" s="24"/>
      <c r="L43" s="24">
        <v>31.42</v>
      </c>
      <c r="M43" s="24">
        <v>31.82</v>
      </c>
      <c r="N43" s="24">
        <v>5.32</v>
      </c>
      <c r="O43" s="24">
        <v>4.8499999999999996</v>
      </c>
      <c r="P43" s="24">
        <v>3.92</v>
      </c>
      <c r="Q43" s="24">
        <v>0.04</v>
      </c>
      <c r="R43" s="24">
        <v>44.55</v>
      </c>
    </row>
    <row r="44" spans="2:18" x14ac:dyDescent="0.35">
      <c r="B44" s="58">
        <v>44044</v>
      </c>
      <c r="C44" s="24"/>
      <c r="D44" s="24">
        <v>72.11</v>
      </c>
      <c r="E44" s="94">
        <v>1445.8</v>
      </c>
      <c r="F44" s="24">
        <v>167.69</v>
      </c>
      <c r="G44" s="24">
        <v>999.3</v>
      </c>
      <c r="H44" s="24">
        <v>33.43</v>
      </c>
      <c r="I44" s="24">
        <v>31.52</v>
      </c>
      <c r="J44" s="94">
        <v>2141.0700000000002</v>
      </c>
      <c r="K44" s="24"/>
      <c r="L44" s="24">
        <v>17.329999999999998</v>
      </c>
      <c r="M44" s="24">
        <v>36.119999999999997</v>
      </c>
      <c r="N44" s="24">
        <v>14.3</v>
      </c>
      <c r="O44" s="24">
        <v>7.9</v>
      </c>
      <c r="P44" s="24">
        <v>0.31</v>
      </c>
      <c r="Q44" s="24">
        <v>0.06</v>
      </c>
      <c r="R44" s="24">
        <v>19.399999999999999</v>
      </c>
    </row>
    <row r="45" spans="2:18" x14ac:dyDescent="0.35">
      <c r="B45" s="58">
        <v>44075</v>
      </c>
      <c r="C45" s="24"/>
      <c r="D45" s="24">
        <v>125.18</v>
      </c>
      <c r="E45" s="24">
        <v>873.65</v>
      </c>
      <c r="F45" s="24">
        <v>51.51</v>
      </c>
      <c r="G45" s="94">
        <v>1190.6500000000001</v>
      </c>
      <c r="H45" s="24">
        <v>39.950000000000003</v>
      </c>
      <c r="I45" s="24">
        <v>14.28</v>
      </c>
      <c r="J45" s="94">
        <v>2411.17</v>
      </c>
      <c r="K45" s="24"/>
      <c r="L45" s="24">
        <v>0.42</v>
      </c>
      <c r="M45" s="24">
        <v>124.18</v>
      </c>
      <c r="N45" s="24">
        <v>0.39</v>
      </c>
      <c r="O45" s="24">
        <v>3.24</v>
      </c>
      <c r="P45" s="24">
        <v>0.01</v>
      </c>
      <c r="Q45" s="24">
        <v>0</v>
      </c>
      <c r="R45" s="24">
        <v>213.02</v>
      </c>
    </row>
    <row r="46" spans="2:18" x14ac:dyDescent="0.35">
      <c r="B46" s="58">
        <v>44105</v>
      </c>
      <c r="C46" s="24"/>
      <c r="D46" s="24">
        <v>64.95</v>
      </c>
      <c r="E46" s="94">
        <v>1024.3399999999999</v>
      </c>
      <c r="F46" s="24">
        <v>52.39</v>
      </c>
      <c r="G46" s="24">
        <v>964.97</v>
      </c>
      <c r="H46" s="24">
        <v>41.45</v>
      </c>
      <c r="I46" s="24">
        <v>5.05</v>
      </c>
      <c r="J46" s="94">
        <v>3642.68</v>
      </c>
      <c r="K46" s="24"/>
      <c r="L46" s="24">
        <v>0.3</v>
      </c>
      <c r="M46" s="24">
        <v>72.86</v>
      </c>
      <c r="N46" s="24">
        <v>3.32</v>
      </c>
      <c r="O46" s="24">
        <v>5.04</v>
      </c>
      <c r="P46" s="24">
        <v>0.01</v>
      </c>
      <c r="Q46" s="24">
        <v>0.14000000000000001</v>
      </c>
      <c r="R46" s="24">
        <v>21.35</v>
      </c>
    </row>
    <row r="47" spans="2:18" x14ac:dyDescent="0.35">
      <c r="B47" s="58">
        <v>44136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</row>
    <row r="48" spans="2:18" x14ac:dyDescent="0.35">
      <c r="B48" s="58">
        <v>44166</v>
      </c>
      <c r="C48" s="24"/>
      <c r="D48" s="9">
        <v>49.29</v>
      </c>
      <c r="E48" s="63">
        <v>1103.44</v>
      </c>
      <c r="F48" s="9">
        <v>80.430000000000007</v>
      </c>
      <c r="G48" s="9">
        <v>889.2</v>
      </c>
      <c r="H48" s="9">
        <v>110.9</v>
      </c>
      <c r="I48" s="9">
        <v>8.66</v>
      </c>
      <c r="J48" s="63">
        <v>2235.0100000000002</v>
      </c>
      <c r="K48" s="9"/>
      <c r="L48" s="9">
        <v>9.19</v>
      </c>
      <c r="M48" s="9">
        <v>35.96</v>
      </c>
      <c r="N48" s="9">
        <v>0.68</v>
      </c>
      <c r="O48" s="9">
        <v>20.9</v>
      </c>
      <c r="P48" s="9">
        <v>0.01</v>
      </c>
      <c r="Q48" s="9">
        <v>0.12</v>
      </c>
      <c r="R48" s="9">
        <v>45.73</v>
      </c>
    </row>
    <row r="49" spans="2:18" x14ac:dyDescent="0.35">
      <c r="B49" s="58">
        <v>44197</v>
      </c>
      <c r="C49" s="24"/>
      <c r="D49" s="9">
        <v>53.59</v>
      </c>
      <c r="E49" s="63">
        <v>1066.69</v>
      </c>
      <c r="F49" s="9">
        <v>50.6</v>
      </c>
      <c r="G49" s="9">
        <v>996.95</v>
      </c>
      <c r="H49" s="9">
        <v>31.56</v>
      </c>
      <c r="I49" s="9">
        <v>42.02</v>
      </c>
      <c r="J49" s="63">
        <v>2003.02</v>
      </c>
      <c r="K49" s="9"/>
      <c r="L49" s="9">
        <v>0.27</v>
      </c>
      <c r="M49" s="9">
        <v>33.58</v>
      </c>
      <c r="N49" s="9">
        <v>2.63</v>
      </c>
      <c r="O49" s="9">
        <v>11.94</v>
      </c>
      <c r="P49" s="9">
        <v>0.1</v>
      </c>
      <c r="Q49" s="9">
        <v>0.05</v>
      </c>
      <c r="R49" s="9">
        <v>3.8</v>
      </c>
    </row>
    <row r="50" spans="2:18" x14ac:dyDescent="0.35">
      <c r="B50" s="58">
        <v>44228</v>
      </c>
      <c r="C50" s="24"/>
      <c r="D50" s="9">
        <v>75.66</v>
      </c>
      <c r="E50" s="9">
        <v>800.61</v>
      </c>
      <c r="F50" s="9">
        <v>69.89</v>
      </c>
      <c r="G50" s="9">
        <v>806.37</v>
      </c>
      <c r="H50" s="9">
        <v>10.74</v>
      </c>
      <c r="I50" s="9">
        <v>7.7</v>
      </c>
      <c r="J50" s="63">
        <v>1158.8599999999999</v>
      </c>
      <c r="K50" s="9"/>
      <c r="L50" s="9">
        <v>4.12</v>
      </c>
      <c r="M50" s="9">
        <v>56.48</v>
      </c>
      <c r="N50" s="9">
        <v>4.12</v>
      </c>
      <c r="O50" s="9">
        <v>3.68</v>
      </c>
      <c r="P50" s="9">
        <v>0.02</v>
      </c>
      <c r="Q50" s="9">
        <v>0.01</v>
      </c>
      <c r="R50" s="9">
        <v>114.85</v>
      </c>
    </row>
    <row r="51" spans="2:18" x14ac:dyDescent="0.35">
      <c r="B51" s="58">
        <v>44256</v>
      </c>
      <c r="C51" s="24"/>
      <c r="D51" s="9">
        <v>95.86</v>
      </c>
      <c r="E51" s="63">
        <v>1079.8900000000001</v>
      </c>
      <c r="F51" s="9">
        <v>103.74</v>
      </c>
      <c r="G51" s="9">
        <v>860.25</v>
      </c>
      <c r="H51" s="9">
        <v>33.68</v>
      </c>
      <c r="I51" s="9">
        <v>7.96</v>
      </c>
      <c r="J51" s="63">
        <v>1200.83</v>
      </c>
      <c r="K51" s="9"/>
      <c r="L51" s="9">
        <v>4.51</v>
      </c>
      <c r="M51" s="9">
        <v>71.650000000000006</v>
      </c>
      <c r="N51" s="9">
        <v>6.93</v>
      </c>
      <c r="O51" s="9">
        <v>50.13</v>
      </c>
      <c r="P51" s="9">
        <v>0.04</v>
      </c>
      <c r="Q51" s="9">
        <v>0.01</v>
      </c>
      <c r="R51" s="9">
        <v>17.73</v>
      </c>
    </row>
    <row r="52" spans="2:18" x14ac:dyDescent="0.35">
      <c r="B52" s="58">
        <v>44287</v>
      </c>
      <c r="C52" s="24"/>
      <c r="D52" s="9">
        <v>107.74</v>
      </c>
      <c r="E52" s="9">
        <v>727.78</v>
      </c>
      <c r="F52" s="9">
        <v>45.94</v>
      </c>
      <c r="G52" s="9">
        <v>687.21</v>
      </c>
      <c r="H52" s="9">
        <v>16.170000000000002</v>
      </c>
      <c r="I52" s="9">
        <v>12.65</v>
      </c>
      <c r="J52" s="63">
        <v>1010.66</v>
      </c>
      <c r="K52" s="9"/>
      <c r="L52" s="9">
        <v>1.26</v>
      </c>
      <c r="M52" s="9">
        <v>35.090000000000003</v>
      </c>
      <c r="N52" s="9">
        <v>0.5</v>
      </c>
      <c r="O52" s="9">
        <v>1.9</v>
      </c>
      <c r="P52" s="9">
        <v>0.36</v>
      </c>
      <c r="Q52" s="9">
        <v>0</v>
      </c>
      <c r="R52" s="9">
        <v>16.78</v>
      </c>
    </row>
    <row r="53" spans="2:18" x14ac:dyDescent="0.35">
      <c r="B53" s="58">
        <v>44317</v>
      </c>
      <c r="C53" s="24"/>
      <c r="D53" s="9">
        <v>56.92</v>
      </c>
      <c r="E53" s="63">
        <v>1260.01</v>
      </c>
      <c r="F53" s="9">
        <v>134.02000000000001</v>
      </c>
      <c r="G53" s="9">
        <v>596.29999999999995</v>
      </c>
      <c r="H53" s="9">
        <v>17.809999999999999</v>
      </c>
      <c r="I53" s="9">
        <v>19.190000000000001</v>
      </c>
      <c r="J53" s="63">
        <v>1918</v>
      </c>
      <c r="K53" s="9"/>
      <c r="L53" s="9">
        <v>0.24</v>
      </c>
      <c r="M53" s="9">
        <v>10.39</v>
      </c>
      <c r="N53" s="9">
        <v>14.84</v>
      </c>
      <c r="O53" s="9">
        <v>0.02</v>
      </c>
      <c r="P53" s="9">
        <v>0.15</v>
      </c>
      <c r="Q53" s="9">
        <v>17.43</v>
      </c>
      <c r="R53" s="9">
        <v>0</v>
      </c>
    </row>
    <row r="54" spans="2:18" x14ac:dyDescent="0.35">
      <c r="B54" s="58">
        <v>44348</v>
      </c>
      <c r="C54" s="24"/>
      <c r="D54" s="9">
        <v>221.86</v>
      </c>
      <c r="E54" s="9">
        <v>938.9</v>
      </c>
      <c r="F54" s="9">
        <v>58.13</v>
      </c>
      <c r="G54" s="9">
        <v>632.27</v>
      </c>
      <c r="H54" s="9">
        <v>71.459999999999994</v>
      </c>
      <c r="I54" s="9">
        <v>12.34</v>
      </c>
      <c r="J54" s="63">
        <v>1554.09</v>
      </c>
      <c r="K54" s="9"/>
      <c r="L54" s="9" t="s">
        <v>71</v>
      </c>
      <c r="M54" s="9">
        <v>44.32</v>
      </c>
      <c r="N54" s="9">
        <v>7.0000000000000007E-2</v>
      </c>
      <c r="O54" s="9">
        <v>47.45</v>
      </c>
      <c r="P54" s="9">
        <v>0.06</v>
      </c>
      <c r="Q54" s="9">
        <v>0.04</v>
      </c>
      <c r="R54" s="9">
        <v>81.42</v>
      </c>
    </row>
    <row r="55" spans="2:18" x14ac:dyDescent="0.35">
      <c r="B55" s="58">
        <v>44378</v>
      </c>
      <c r="C55" s="24"/>
      <c r="D55" s="9">
        <v>64.55</v>
      </c>
      <c r="E55" s="9">
        <v>912.33</v>
      </c>
      <c r="F55" s="9">
        <v>40.81</v>
      </c>
      <c r="G55" s="9">
        <v>741.37</v>
      </c>
      <c r="H55" s="9">
        <v>16.600000000000001</v>
      </c>
      <c r="I55" s="9">
        <v>12.23</v>
      </c>
      <c r="J55" s="63">
        <v>3417.78</v>
      </c>
      <c r="K55" s="9"/>
      <c r="L55" s="9">
        <v>31.74</v>
      </c>
      <c r="M55" s="9">
        <v>10.19</v>
      </c>
      <c r="N55" s="9">
        <v>0.71</v>
      </c>
      <c r="O55" s="9">
        <v>40.5</v>
      </c>
      <c r="P55" s="9">
        <v>3.44</v>
      </c>
      <c r="Q55" s="9">
        <v>0.03</v>
      </c>
      <c r="R55" s="9">
        <v>15.19</v>
      </c>
    </row>
    <row r="56" spans="2:18" x14ac:dyDescent="0.35">
      <c r="B56" s="58">
        <v>44409</v>
      </c>
      <c r="C56" s="24"/>
      <c r="D56" s="9">
        <v>166.32</v>
      </c>
      <c r="E56" s="63">
        <v>1024.9000000000001</v>
      </c>
      <c r="F56" s="9">
        <v>67.180000000000007</v>
      </c>
      <c r="G56" s="9">
        <v>709.74</v>
      </c>
      <c r="H56" s="9">
        <v>18.71</v>
      </c>
      <c r="I56" s="9">
        <v>17.93</v>
      </c>
      <c r="J56" s="63">
        <v>1284.5999999999999</v>
      </c>
      <c r="K56" s="9"/>
      <c r="L56" s="9">
        <v>2.81</v>
      </c>
      <c r="M56" s="9">
        <v>16.16</v>
      </c>
      <c r="N56" s="9">
        <v>0.87</v>
      </c>
      <c r="O56" s="9">
        <v>8.56</v>
      </c>
      <c r="P56" s="9">
        <v>0.01</v>
      </c>
      <c r="Q56" s="9">
        <v>0.68</v>
      </c>
      <c r="R56" s="9">
        <v>13.87</v>
      </c>
    </row>
    <row r="57" spans="2:18" x14ac:dyDescent="0.35">
      <c r="B57" s="58">
        <v>44440</v>
      </c>
      <c r="C57" s="24"/>
      <c r="D57" s="9">
        <v>74.75</v>
      </c>
      <c r="E57" s="63">
        <v>2247.61</v>
      </c>
      <c r="F57" s="9">
        <v>53.28</v>
      </c>
      <c r="G57" s="9">
        <v>764.34</v>
      </c>
      <c r="H57" s="9">
        <v>28.16</v>
      </c>
      <c r="I57" s="9">
        <v>10</v>
      </c>
      <c r="J57" s="63">
        <v>1233.6500000000001</v>
      </c>
      <c r="K57" s="9"/>
      <c r="L57" s="9">
        <v>0.52</v>
      </c>
      <c r="M57" s="9">
        <v>43.2</v>
      </c>
      <c r="N57" s="9">
        <v>0.9</v>
      </c>
      <c r="O57" s="9">
        <v>3.63</v>
      </c>
      <c r="P57" s="9">
        <v>0.34</v>
      </c>
      <c r="Q57" s="9">
        <v>25.41</v>
      </c>
      <c r="R57" s="9">
        <v>0</v>
      </c>
    </row>
    <row r="58" spans="2:18" x14ac:dyDescent="0.35">
      <c r="B58" s="58">
        <v>44470</v>
      </c>
      <c r="C58" s="24"/>
      <c r="D58" s="9">
        <v>125.54</v>
      </c>
      <c r="E58" s="63">
        <v>1292.1199999999999</v>
      </c>
      <c r="F58" s="9">
        <v>74.02</v>
      </c>
      <c r="G58" s="9">
        <v>703.05</v>
      </c>
      <c r="H58" s="9">
        <v>16.850000000000001</v>
      </c>
      <c r="I58" s="9">
        <v>8.44</v>
      </c>
      <c r="J58" s="63">
        <v>1778.35</v>
      </c>
      <c r="K58" s="9"/>
      <c r="L58" s="9">
        <v>3.58</v>
      </c>
      <c r="M58" s="9">
        <v>29.05</v>
      </c>
      <c r="N58" s="9">
        <v>4.51</v>
      </c>
      <c r="O58" s="9">
        <v>27.54</v>
      </c>
      <c r="P58" s="9">
        <v>0.26</v>
      </c>
      <c r="Q58" s="9">
        <v>0.13</v>
      </c>
      <c r="R58" s="9">
        <v>81.09</v>
      </c>
    </row>
    <row r="59" spans="2:18" x14ac:dyDescent="0.35">
      <c r="B59" s="58">
        <v>44501</v>
      </c>
      <c r="C59" s="24"/>
      <c r="D59" s="9">
        <v>73.930000000000007</v>
      </c>
      <c r="E59" s="63">
        <v>1083.8900000000001</v>
      </c>
      <c r="F59" s="9">
        <v>54.89</v>
      </c>
      <c r="G59" s="9">
        <v>519.66</v>
      </c>
      <c r="H59" s="9">
        <v>36.799999999999997</v>
      </c>
      <c r="I59" s="9">
        <v>116.28</v>
      </c>
      <c r="J59" s="63">
        <v>2225.12</v>
      </c>
      <c r="K59" s="9"/>
      <c r="L59" s="9">
        <v>0.02</v>
      </c>
      <c r="M59" s="9">
        <v>13.05</v>
      </c>
      <c r="N59" s="9">
        <v>2.36</v>
      </c>
      <c r="O59" s="9">
        <v>15.31</v>
      </c>
      <c r="P59" s="9" t="s">
        <v>71</v>
      </c>
      <c r="Q59" s="9">
        <v>1.6</v>
      </c>
      <c r="R59" s="9">
        <v>123.74</v>
      </c>
    </row>
    <row r="60" spans="2:18" x14ac:dyDescent="0.35">
      <c r="B60" s="58">
        <v>44531</v>
      </c>
      <c r="C60" s="24"/>
      <c r="D60" s="9">
        <v>135.1</v>
      </c>
      <c r="E60" s="63">
        <v>1650.01</v>
      </c>
      <c r="F60" s="9">
        <v>43.17</v>
      </c>
      <c r="G60" s="9">
        <v>682.05</v>
      </c>
      <c r="H60" s="9">
        <v>16.149999999999999</v>
      </c>
      <c r="I60" s="9">
        <v>8.83</v>
      </c>
      <c r="J60" s="63">
        <v>4139.32</v>
      </c>
      <c r="K60" s="9"/>
      <c r="L60" s="9">
        <v>14.18</v>
      </c>
      <c r="M60" s="9">
        <v>131.31</v>
      </c>
      <c r="N60" s="9">
        <v>0.01</v>
      </c>
      <c r="O60" s="9">
        <v>22.97</v>
      </c>
      <c r="P60" s="9">
        <v>9.9</v>
      </c>
      <c r="Q60" s="9">
        <v>0.11</v>
      </c>
      <c r="R60" s="9">
        <v>193.93</v>
      </c>
    </row>
    <row r="61" spans="2:18" x14ac:dyDescent="0.35">
      <c r="B61" s="58">
        <v>44562</v>
      </c>
      <c r="C61" s="24"/>
      <c r="D61" s="9">
        <v>65.510000000000005</v>
      </c>
      <c r="E61" s="63">
        <v>1261.23</v>
      </c>
      <c r="F61" s="9">
        <v>45.39</v>
      </c>
      <c r="G61" s="9">
        <v>826.5</v>
      </c>
      <c r="H61" s="9">
        <v>4.6100000000000003</v>
      </c>
      <c r="I61" s="9">
        <v>12.31</v>
      </c>
      <c r="J61" s="63">
        <v>1995.15</v>
      </c>
      <c r="K61" s="9"/>
      <c r="L61" s="9">
        <v>0.17</v>
      </c>
      <c r="M61" s="9">
        <v>23.5</v>
      </c>
      <c r="N61" s="9">
        <v>0.65</v>
      </c>
      <c r="O61" s="9">
        <v>1</v>
      </c>
      <c r="P61" s="9">
        <v>0.02</v>
      </c>
      <c r="Q61" s="9" t="s">
        <v>71</v>
      </c>
      <c r="R61" s="9">
        <v>6.46</v>
      </c>
    </row>
    <row r="62" spans="2:18" x14ac:dyDescent="0.35">
      <c r="B62" s="58">
        <v>44593</v>
      </c>
      <c r="C62" s="24"/>
      <c r="D62" s="9">
        <v>268.95</v>
      </c>
      <c r="E62" s="63">
        <v>1356.82</v>
      </c>
      <c r="F62" s="9">
        <v>44.46</v>
      </c>
      <c r="G62" s="63">
        <v>1086.45</v>
      </c>
      <c r="H62" s="9">
        <v>117.75</v>
      </c>
      <c r="I62" s="9">
        <v>14.07</v>
      </c>
      <c r="J62" s="63">
        <v>1680.01</v>
      </c>
      <c r="K62" s="9"/>
      <c r="L62" s="9">
        <v>0.01</v>
      </c>
      <c r="M62" s="9">
        <v>33.299999999999997</v>
      </c>
      <c r="N62" s="9">
        <v>0.28999999999999998</v>
      </c>
      <c r="O62" s="9">
        <v>41.95</v>
      </c>
      <c r="P62" s="9" t="s">
        <v>71</v>
      </c>
      <c r="Q62" s="9">
        <v>0.69</v>
      </c>
      <c r="R62" s="9">
        <v>434.13</v>
      </c>
    </row>
    <row r="63" spans="2:18" x14ac:dyDescent="0.35">
      <c r="B63" s="58">
        <v>44621</v>
      </c>
      <c r="C63" s="24"/>
      <c r="D63" s="9">
        <v>119.79</v>
      </c>
      <c r="E63" s="63">
        <v>2655.33</v>
      </c>
      <c r="F63" s="9">
        <v>70.78</v>
      </c>
      <c r="G63" s="9">
        <v>817.44</v>
      </c>
      <c r="H63" s="9">
        <v>20.05</v>
      </c>
      <c r="I63" s="9">
        <v>116.2</v>
      </c>
      <c r="J63" s="63">
        <v>2568.62</v>
      </c>
      <c r="K63" s="9"/>
      <c r="L63" s="9">
        <v>1.27</v>
      </c>
      <c r="M63" s="9">
        <v>56.28</v>
      </c>
      <c r="N63" s="9">
        <v>5.92</v>
      </c>
      <c r="O63" s="9">
        <v>90.12</v>
      </c>
      <c r="P63" s="9">
        <v>1</v>
      </c>
      <c r="Q63" s="9">
        <v>0.25</v>
      </c>
      <c r="R63" s="9">
        <v>258.92</v>
      </c>
    </row>
    <row r="64" spans="2:18" x14ac:dyDescent="0.35">
      <c r="B64" s="58">
        <v>44652</v>
      </c>
      <c r="C64" s="24"/>
      <c r="D64" s="9">
        <v>62.88</v>
      </c>
      <c r="E64" s="63">
        <v>1915.99</v>
      </c>
      <c r="F64" s="9">
        <v>57.64</v>
      </c>
      <c r="G64" s="9">
        <v>922.86</v>
      </c>
      <c r="H64" s="9">
        <v>8.9499999999999993</v>
      </c>
      <c r="I64" s="9">
        <v>14.28</v>
      </c>
      <c r="J64" s="63">
        <v>1200.97</v>
      </c>
      <c r="K64" s="9"/>
      <c r="L64" s="9">
        <v>2.48</v>
      </c>
      <c r="M64" s="9">
        <v>29.74</v>
      </c>
      <c r="N64" s="9">
        <v>7.22</v>
      </c>
      <c r="O64" s="9">
        <v>4.8600000000000003</v>
      </c>
      <c r="P64" s="9">
        <v>0.16</v>
      </c>
      <c r="Q64" s="9">
        <v>7.0000000000000007E-2</v>
      </c>
      <c r="R64" s="9">
        <v>57.08</v>
      </c>
    </row>
    <row r="65" spans="2:18" x14ac:dyDescent="0.35">
      <c r="B65" s="58">
        <v>44682</v>
      </c>
      <c r="C65" s="24"/>
      <c r="D65" s="9">
        <v>135.47999999999999</v>
      </c>
      <c r="E65" s="63">
        <v>1222.17</v>
      </c>
      <c r="F65" s="9">
        <v>109.23</v>
      </c>
      <c r="G65" s="9">
        <v>738.36</v>
      </c>
      <c r="H65" s="9">
        <v>15.72</v>
      </c>
      <c r="I65" s="9">
        <v>19.3</v>
      </c>
      <c r="J65" s="63">
        <v>1635.44</v>
      </c>
      <c r="K65" s="9"/>
      <c r="L65" s="9">
        <v>2.48</v>
      </c>
      <c r="M65" s="9">
        <v>62.69</v>
      </c>
      <c r="N65" s="9">
        <v>8.2200000000000006</v>
      </c>
      <c r="O65" s="9">
        <v>1.86</v>
      </c>
      <c r="P65" s="9">
        <v>1.31</v>
      </c>
      <c r="Q65" s="9">
        <v>0.72</v>
      </c>
      <c r="R65" s="9">
        <v>31.84</v>
      </c>
    </row>
    <row r="66" spans="2:18" x14ac:dyDescent="0.35">
      <c r="B66" s="58">
        <v>44713</v>
      </c>
      <c r="C66" s="24"/>
      <c r="D66" s="9">
        <v>152.94</v>
      </c>
      <c r="E66" s="63">
        <v>1434.65</v>
      </c>
      <c r="F66" s="9">
        <v>105.57</v>
      </c>
      <c r="G66" s="9">
        <v>960.61</v>
      </c>
      <c r="H66" s="9">
        <v>15.72</v>
      </c>
      <c r="I66" s="9">
        <v>9.02</v>
      </c>
      <c r="J66" s="63">
        <v>2634.03</v>
      </c>
      <c r="K66" s="9"/>
      <c r="L66" s="9">
        <v>13.06</v>
      </c>
      <c r="M66" s="9">
        <v>54.02</v>
      </c>
      <c r="N66" s="9">
        <v>5.42</v>
      </c>
      <c r="O66" s="9">
        <v>2.87</v>
      </c>
      <c r="P66" s="9">
        <v>0.04</v>
      </c>
      <c r="Q66" s="9">
        <v>0.02</v>
      </c>
      <c r="R66" s="9">
        <v>280.08</v>
      </c>
    </row>
    <row r="67" spans="2:18" x14ac:dyDescent="0.35">
      <c r="B67" s="58">
        <v>44743</v>
      </c>
      <c r="C67" s="24"/>
      <c r="D67" s="9">
        <v>287.77999999999997</v>
      </c>
      <c r="E67" s="63">
        <v>1157.23</v>
      </c>
      <c r="F67" s="9">
        <v>43.4</v>
      </c>
      <c r="G67" s="9">
        <v>839.25</v>
      </c>
      <c r="H67" s="9">
        <v>18.02</v>
      </c>
      <c r="I67" s="9">
        <v>16.13</v>
      </c>
      <c r="J67" s="63">
        <v>2794.52</v>
      </c>
      <c r="K67" s="9"/>
      <c r="L67" s="9">
        <v>0.28999999999999998</v>
      </c>
      <c r="M67" s="9">
        <v>26.27</v>
      </c>
      <c r="N67" s="9">
        <v>3.88</v>
      </c>
      <c r="O67" s="9">
        <v>4.5199999999999996</v>
      </c>
      <c r="P67" s="9">
        <v>0.04</v>
      </c>
      <c r="Q67" s="9">
        <v>0.02</v>
      </c>
      <c r="R67" s="9">
        <v>60.23</v>
      </c>
    </row>
    <row r="68" spans="2:18" x14ac:dyDescent="0.35">
      <c r="B68" s="58">
        <v>44774</v>
      </c>
      <c r="C68" s="24"/>
      <c r="D68" s="9">
        <v>960.8</v>
      </c>
      <c r="E68" s="63">
        <v>1027.4100000000001</v>
      </c>
      <c r="F68" s="9">
        <v>99.12</v>
      </c>
      <c r="G68" s="9">
        <v>889.5</v>
      </c>
      <c r="H68" s="9">
        <v>21.21</v>
      </c>
      <c r="I68" s="9">
        <v>14.56</v>
      </c>
      <c r="J68" s="63">
        <v>2393.35</v>
      </c>
      <c r="K68" s="9"/>
      <c r="L68" s="9">
        <v>8.81</v>
      </c>
      <c r="M68" s="9">
        <v>21.77</v>
      </c>
      <c r="N68" s="9">
        <v>4.2</v>
      </c>
      <c r="O68" s="9">
        <v>12.74</v>
      </c>
      <c r="P68" s="9">
        <v>0.01</v>
      </c>
      <c r="Q68" s="9">
        <v>1.97</v>
      </c>
      <c r="R68" s="9">
        <v>246.2</v>
      </c>
    </row>
    <row r="69" spans="2:18" x14ac:dyDescent="0.35">
      <c r="B69" s="58">
        <v>44805</v>
      </c>
      <c r="C69" s="24"/>
      <c r="D69" s="9">
        <v>498.7</v>
      </c>
      <c r="E69" s="9">
        <v>751.63</v>
      </c>
      <c r="F69" s="9">
        <v>156.69</v>
      </c>
      <c r="G69" s="9">
        <v>570.05999999999995</v>
      </c>
      <c r="H69" s="9">
        <v>19.29</v>
      </c>
      <c r="I69" s="9">
        <v>9.14</v>
      </c>
      <c r="J69" s="63">
        <v>1563.47</v>
      </c>
      <c r="K69" s="9"/>
      <c r="L69" s="9">
        <v>8.3000000000000007</v>
      </c>
      <c r="M69" s="9">
        <v>92.84</v>
      </c>
      <c r="N69" s="9">
        <v>14.88</v>
      </c>
      <c r="O69" s="9">
        <v>12.23</v>
      </c>
      <c r="P69" s="9">
        <v>0.01</v>
      </c>
      <c r="Q69" s="9">
        <v>2.69</v>
      </c>
      <c r="R69" s="9">
        <v>21.64</v>
      </c>
    </row>
    <row r="70" spans="2:18" x14ac:dyDescent="0.35">
      <c r="B70" s="58">
        <v>44835</v>
      </c>
      <c r="C70" s="24"/>
      <c r="D70" s="9">
        <v>239.18</v>
      </c>
      <c r="E70" s="63">
        <v>1285.72</v>
      </c>
      <c r="F70" s="9">
        <v>67.56</v>
      </c>
      <c r="G70" s="9">
        <v>846.66</v>
      </c>
      <c r="H70" s="9">
        <v>26.5</v>
      </c>
      <c r="I70" s="9">
        <v>12.44</v>
      </c>
      <c r="J70" s="63">
        <v>1509.8</v>
      </c>
      <c r="K70" s="9"/>
      <c r="L70" s="9">
        <v>0.99</v>
      </c>
      <c r="M70" s="9">
        <v>56.15</v>
      </c>
      <c r="N70" s="9">
        <v>6.96</v>
      </c>
      <c r="O70" s="9">
        <v>10.66</v>
      </c>
      <c r="P70" s="9"/>
      <c r="Q70" s="9">
        <v>4.84</v>
      </c>
      <c r="R70" s="9">
        <v>35.74</v>
      </c>
    </row>
    <row r="71" spans="2:18" x14ac:dyDescent="0.35">
      <c r="B71" s="58">
        <v>44866</v>
      </c>
      <c r="C71" s="24"/>
      <c r="D71" s="9">
        <v>451.02</v>
      </c>
      <c r="E71" s="63">
        <v>1262.73</v>
      </c>
      <c r="F71" s="9">
        <v>92.37</v>
      </c>
      <c r="G71" s="9">
        <v>949.42</v>
      </c>
      <c r="H71" s="9">
        <v>18.38</v>
      </c>
      <c r="I71" s="9">
        <v>14.37</v>
      </c>
      <c r="J71" s="63">
        <v>2153.4299999999998</v>
      </c>
      <c r="K71" s="9"/>
      <c r="L71" s="9">
        <v>4.24</v>
      </c>
      <c r="M71" s="9">
        <v>24.18</v>
      </c>
      <c r="N71" s="9">
        <v>6.89</v>
      </c>
      <c r="O71" s="9">
        <v>4.62</v>
      </c>
      <c r="P71" s="9">
        <v>0.04</v>
      </c>
      <c r="Q71" s="9">
        <v>0.17</v>
      </c>
      <c r="R71" s="9">
        <v>17.57</v>
      </c>
    </row>
    <row r="72" spans="2:18" x14ac:dyDescent="0.35">
      <c r="B72" s="58">
        <v>44896</v>
      </c>
      <c r="C72" s="24"/>
      <c r="D72" s="9">
        <v>214.6</v>
      </c>
      <c r="E72" s="63">
        <v>1000.59</v>
      </c>
      <c r="F72" s="9">
        <v>95.39</v>
      </c>
      <c r="G72" s="9">
        <v>597.69000000000005</v>
      </c>
      <c r="H72" s="9">
        <v>23.32</v>
      </c>
      <c r="I72" s="9">
        <v>7.14</v>
      </c>
      <c r="J72" s="63">
        <v>1669.76</v>
      </c>
      <c r="K72" s="9"/>
      <c r="L72" s="9">
        <v>18.239999999999998</v>
      </c>
      <c r="M72" s="9">
        <v>16.47</v>
      </c>
      <c r="N72" s="9">
        <v>3.58</v>
      </c>
      <c r="O72" s="9">
        <v>5.31</v>
      </c>
      <c r="P72" s="9">
        <v>0</v>
      </c>
      <c r="Q72" s="9">
        <v>2.42</v>
      </c>
      <c r="R72" s="9">
        <v>41.28</v>
      </c>
    </row>
    <row r="73" spans="2:18" x14ac:dyDescent="0.35">
      <c r="B73" s="58">
        <v>44927</v>
      </c>
      <c r="C73" s="24"/>
      <c r="D73" s="9">
        <v>130.07</v>
      </c>
      <c r="E73" s="9">
        <v>777.24</v>
      </c>
      <c r="F73" s="9">
        <v>215.11</v>
      </c>
      <c r="G73" s="9">
        <v>513.19000000000005</v>
      </c>
      <c r="H73" s="9">
        <v>17.63</v>
      </c>
      <c r="I73" s="9">
        <v>27.53</v>
      </c>
      <c r="J73" s="63">
        <v>1546.4</v>
      </c>
      <c r="K73" s="9"/>
      <c r="L73" s="9">
        <v>6.74</v>
      </c>
      <c r="M73" s="9">
        <v>19.57</v>
      </c>
      <c r="N73" s="9">
        <v>7.9</v>
      </c>
      <c r="O73" s="9">
        <v>12.03</v>
      </c>
      <c r="P73" s="9">
        <v>0.01</v>
      </c>
      <c r="Q73" s="9">
        <v>0.17</v>
      </c>
      <c r="R73" s="9">
        <v>89</v>
      </c>
    </row>
    <row r="74" spans="2:18" x14ac:dyDescent="0.35">
      <c r="B74" s="58">
        <v>44958</v>
      </c>
      <c r="C74" s="24"/>
      <c r="D74" s="24">
        <v>121.29</v>
      </c>
      <c r="E74" s="94">
        <v>1242.01</v>
      </c>
      <c r="F74" s="24">
        <v>108.55</v>
      </c>
      <c r="G74" s="24">
        <v>521.09</v>
      </c>
      <c r="H74" s="24">
        <v>4.82</v>
      </c>
      <c r="I74" s="24">
        <v>18.91</v>
      </c>
      <c r="J74" s="94">
        <v>2327.23</v>
      </c>
      <c r="K74" s="24"/>
      <c r="L74" s="24">
        <v>4.6900000000000004</v>
      </c>
      <c r="M74" s="24">
        <v>143.81</v>
      </c>
      <c r="N74" s="24">
        <v>4.79</v>
      </c>
      <c r="O74" s="24">
        <v>31.65</v>
      </c>
      <c r="P74" s="24">
        <v>0</v>
      </c>
      <c r="Q74" s="24">
        <v>0.01</v>
      </c>
      <c r="R74" s="24">
        <v>210.03</v>
      </c>
    </row>
    <row r="75" spans="2:18" x14ac:dyDescent="0.35">
      <c r="B75" s="58">
        <v>44986</v>
      </c>
      <c r="C75" s="24"/>
      <c r="D75" s="9">
        <v>117.06</v>
      </c>
      <c r="E75" s="63">
        <v>1422.46</v>
      </c>
      <c r="F75" s="9">
        <v>140.41</v>
      </c>
      <c r="G75" s="9">
        <v>567.9</v>
      </c>
      <c r="H75" s="9">
        <v>32.44</v>
      </c>
      <c r="I75" s="9">
        <v>21.53</v>
      </c>
      <c r="J75" s="63">
        <v>1479.32</v>
      </c>
      <c r="K75" s="9"/>
      <c r="L75" s="9">
        <v>1.38</v>
      </c>
      <c r="M75" s="9">
        <v>126.97</v>
      </c>
      <c r="N75" s="9">
        <v>5.43</v>
      </c>
      <c r="O75" s="9">
        <v>12.06</v>
      </c>
      <c r="P75" s="9" t="s">
        <v>71</v>
      </c>
      <c r="Q75" s="9">
        <v>0.05</v>
      </c>
      <c r="R75" s="9">
        <v>67.36</v>
      </c>
    </row>
    <row r="76" spans="2:18" x14ac:dyDescent="0.35">
      <c r="B76" s="58">
        <v>45017</v>
      </c>
      <c r="C76" s="24"/>
      <c r="D76" s="24">
        <v>88.87</v>
      </c>
      <c r="E76" s="24">
        <v>848.26</v>
      </c>
      <c r="F76" s="24">
        <v>43.27</v>
      </c>
      <c r="G76" s="24">
        <v>629.62</v>
      </c>
      <c r="H76" s="24">
        <v>14.77</v>
      </c>
      <c r="I76" s="24">
        <v>14.39</v>
      </c>
      <c r="J76" s="94">
        <v>3116.44</v>
      </c>
      <c r="K76" s="24"/>
      <c r="L76" s="24">
        <v>3.9</v>
      </c>
      <c r="M76" s="24">
        <v>104.74</v>
      </c>
      <c r="N76" s="24">
        <v>34.18</v>
      </c>
      <c r="O76" s="24">
        <v>20.7</v>
      </c>
      <c r="P76" s="24">
        <v>0.13</v>
      </c>
      <c r="Q76" s="24">
        <v>0.16</v>
      </c>
      <c r="R76" s="24">
        <v>404.46</v>
      </c>
    </row>
    <row r="77" spans="2:18" x14ac:dyDescent="0.35">
      <c r="B77" s="58">
        <v>45047</v>
      </c>
      <c r="C77" s="24"/>
      <c r="D77" s="24">
        <v>170.01</v>
      </c>
      <c r="E77" s="94">
        <v>1948.65</v>
      </c>
      <c r="F77" s="24">
        <v>102.49</v>
      </c>
      <c r="G77" s="24">
        <v>505.79</v>
      </c>
      <c r="H77" s="24">
        <v>5.27</v>
      </c>
      <c r="I77" s="24">
        <v>31.88</v>
      </c>
      <c r="J77" s="94">
        <v>1762.54</v>
      </c>
      <c r="K77" s="24"/>
      <c r="L77" s="24">
        <v>14.78</v>
      </c>
      <c r="M77" s="24">
        <v>62.89</v>
      </c>
      <c r="N77" s="24">
        <v>20.440000000000001</v>
      </c>
      <c r="O77" s="24">
        <v>22.76</v>
      </c>
      <c r="P77" s="24">
        <v>0.11</v>
      </c>
      <c r="Q77" s="24">
        <v>0.41</v>
      </c>
      <c r="R77" s="24">
        <v>59.98</v>
      </c>
    </row>
    <row r="78" spans="2:18" x14ac:dyDescent="0.35">
      <c r="B78" s="58">
        <v>45078</v>
      </c>
      <c r="C78" s="24"/>
      <c r="D78" s="24">
        <v>195.31</v>
      </c>
      <c r="E78" s="94">
        <v>2144.69</v>
      </c>
      <c r="F78" s="24">
        <v>71.72</v>
      </c>
      <c r="G78" s="24">
        <v>548.66999999999996</v>
      </c>
      <c r="H78" s="24">
        <v>17.53</v>
      </c>
      <c r="I78" s="24">
        <v>14.52</v>
      </c>
      <c r="J78" s="94">
        <v>1504.51</v>
      </c>
      <c r="K78" s="24"/>
      <c r="L78" s="24">
        <v>5.94</v>
      </c>
      <c r="M78" s="24">
        <v>26.05</v>
      </c>
      <c r="N78" s="24">
        <v>7.41</v>
      </c>
      <c r="O78" s="24">
        <v>8.8800000000000008</v>
      </c>
      <c r="P78" s="24">
        <v>3.38</v>
      </c>
      <c r="Q78" s="24">
        <v>0.16</v>
      </c>
      <c r="R78" s="24">
        <v>69.790000000000006</v>
      </c>
    </row>
    <row r="79" spans="2:18" x14ac:dyDescent="0.35">
      <c r="B79" s="58">
        <v>45108</v>
      </c>
      <c r="C79" s="24"/>
      <c r="D79" s="24">
        <v>125.87</v>
      </c>
      <c r="E79" s="94">
        <v>2590.58</v>
      </c>
      <c r="F79" s="24">
        <v>98.71</v>
      </c>
      <c r="G79" s="24">
        <v>600.64</v>
      </c>
      <c r="H79" s="24">
        <v>11.8</v>
      </c>
      <c r="I79" s="24">
        <v>17.059999999999999</v>
      </c>
      <c r="J79" s="94">
        <v>4488.93</v>
      </c>
      <c r="K79" s="24"/>
      <c r="L79" s="24">
        <v>3.23</v>
      </c>
      <c r="M79" s="24">
        <v>62.86</v>
      </c>
      <c r="N79" s="24">
        <v>7.44</v>
      </c>
      <c r="O79" s="24">
        <v>5.59</v>
      </c>
      <c r="P79" s="24"/>
      <c r="Q79" s="24">
        <v>0.22</v>
      </c>
      <c r="R79" s="24">
        <v>89.56</v>
      </c>
    </row>
    <row r="80" spans="2:18" x14ac:dyDescent="0.35">
      <c r="B80" s="58">
        <v>45139</v>
      </c>
      <c r="C80" s="24"/>
      <c r="D80" s="9">
        <v>91.39</v>
      </c>
      <c r="E80" s="63">
        <v>1678.16</v>
      </c>
      <c r="F80" s="9">
        <v>97.29</v>
      </c>
      <c r="G80" s="9">
        <v>803.6</v>
      </c>
      <c r="H80" s="9">
        <v>17.829999999999998</v>
      </c>
      <c r="I80" s="9">
        <v>20.05</v>
      </c>
      <c r="J80" s="63">
        <v>2800.91</v>
      </c>
      <c r="K80" s="9" t="s">
        <v>103</v>
      </c>
      <c r="L80" s="9">
        <v>2.36</v>
      </c>
      <c r="M80" s="9">
        <v>35.04</v>
      </c>
      <c r="N80" s="9">
        <v>9.49</v>
      </c>
      <c r="O80" s="9">
        <v>30.64</v>
      </c>
      <c r="P80" s="9">
        <v>0.05</v>
      </c>
      <c r="Q80" s="9">
        <v>0.17</v>
      </c>
      <c r="R80" s="9">
        <v>119.52</v>
      </c>
    </row>
    <row r="81" spans="2:18" x14ac:dyDescent="0.35">
      <c r="B81" s="58">
        <v>45170</v>
      </c>
      <c r="C81" s="24"/>
      <c r="D81" s="24">
        <v>83.8</v>
      </c>
      <c r="E81" s="94">
        <v>1202.1600000000001</v>
      </c>
      <c r="F81" s="24">
        <v>75.98</v>
      </c>
      <c r="G81" s="24">
        <v>622.47</v>
      </c>
      <c r="H81" s="24">
        <v>11.35</v>
      </c>
      <c r="I81" s="24">
        <v>24.73</v>
      </c>
      <c r="J81" s="94">
        <v>3176.61</v>
      </c>
      <c r="K81" s="24" t="s">
        <v>103</v>
      </c>
      <c r="L81" s="24">
        <v>20.72</v>
      </c>
      <c r="M81" s="24">
        <v>151.28</v>
      </c>
      <c r="N81" s="24">
        <v>9.17</v>
      </c>
      <c r="O81" s="24">
        <v>46.58</v>
      </c>
      <c r="P81" s="24">
        <v>0.02</v>
      </c>
      <c r="Q81" s="24">
        <v>0.22</v>
      </c>
      <c r="R81" s="24">
        <v>108.4</v>
      </c>
    </row>
    <row r="82" spans="2:18" x14ac:dyDescent="0.35">
      <c r="B82" s="58">
        <v>45200</v>
      </c>
      <c r="C82" s="24"/>
      <c r="D82" s="24">
        <v>211</v>
      </c>
      <c r="E82" s="94">
        <v>1766.04</v>
      </c>
      <c r="F82" s="24">
        <v>72.510000000000005</v>
      </c>
      <c r="G82" s="24">
        <v>801.56</v>
      </c>
      <c r="H82" s="24">
        <v>21.88</v>
      </c>
      <c r="I82" s="24">
        <v>16.850000000000001</v>
      </c>
      <c r="J82" s="94">
        <v>3107.94</v>
      </c>
      <c r="K82" s="24"/>
      <c r="L82" s="24">
        <v>1.34</v>
      </c>
      <c r="M82" s="24">
        <v>23.2</v>
      </c>
      <c r="N82" s="24">
        <v>7.26</v>
      </c>
      <c r="O82" s="24">
        <v>9.7899999999999991</v>
      </c>
      <c r="P82" s="24">
        <v>0.02</v>
      </c>
      <c r="Q82" s="24" t="s">
        <v>71</v>
      </c>
      <c r="R82" s="24">
        <v>75.959999999999994</v>
      </c>
    </row>
    <row r="83" spans="2:18" x14ac:dyDescent="0.35">
      <c r="B83" s="58">
        <v>45231</v>
      </c>
      <c r="C83" s="24"/>
      <c r="D83" s="24">
        <v>235.09</v>
      </c>
      <c r="E83" s="94">
        <v>1397.22</v>
      </c>
      <c r="F83" s="24">
        <v>167.16</v>
      </c>
      <c r="G83" s="24">
        <v>777.49</v>
      </c>
      <c r="H83" s="24">
        <v>14.63</v>
      </c>
      <c r="I83" s="24">
        <v>13.09</v>
      </c>
      <c r="J83" s="94">
        <v>3433.49</v>
      </c>
      <c r="K83" s="24"/>
      <c r="L83" s="24">
        <v>4.3</v>
      </c>
      <c r="M83" s="24">
        <v>130.61000000000001</v>
      </c>
      <c r="N83" s="24">
        <v>20.29</v>
      </c>
      <c r="O83" s="24">
        <v>32.22</v>
      </c>
      <c r="P83" s="24">
        <v>71.16</v>
      </c>
      <c r="Q83" s="24">
        <v>1.85</v>
      </c>
      <c r="R83" s="24">
        <v>167.42</v>
      </c>
    </row>
    <row r="84" spans="2:18" x14ac:dyDescent="0.35">
      <c r="B84" s="58">
        <v>45261</v>
      </c>
      <c r="D84" s="24">
        <v>197.78</v>
      </c>
      <c r="E84" s="94">
        <v>1878.08</v>
      </c>
      <c r="F84" s="24">
        <v>91.45</v>
      </c>
      <c r="G84" s="24">
        <v>762.17</v>
      </c>
      <c r="H84" s="24">
        <v>19.739999999999998</v>
      </c>
      <c r="I84" s="24">
        <v>17.2</v>
      </c>
      <c r="J84" s="94">
        <v>2502.84</v>
      </c>
      <c r="L84" s="24">
        <v>4.0599999999999996</v>
      </c>
      <c r="M84" s="24">
        <v>108.01</v>
      </c>
      <c r="N84" s="24">
        <v>13.93</v>
      </c>
      <c r="O84" s="24">
        <v>32.79</v>
      </c>
      <c r="P84" s="24">
        <v>0.06</v>
      </c>
      <c r="Q84" s="24">
        <v>0.02</v>
      </c>
      <c r="R84" s="24">
        <v>156.63999999999999</v>
      </c>
    </row>
    <row r="85" spans="2:18" x14ac:dyDescent="0.35">
      <c r="B85" s="58">
        <v>45292</v>
      </c>
      <c r="D85">
        <v>206.14</v>
      </c>
      <c r="E85" s="144">
        <v>1876</v>
      </c>
      <c r="F85" s="145">
        <v>92.11</v>
      </c>
      <c r="G85" s="145">
        <v>338.03</v>
      </c>
      <c r="H85" s="145">
        <v>14.51</v>
      </c>
      <c r="I85" s="145">
        <v>12.32</v>
      </c>
      <c r="J85" s="145">
        <v>2993.43</v>
      </c>
      <c r="K85" s="145"/>
      <c r="L85" s="145">
        <v>1.0900000000000001</v>
      </c>
      <c r="M85" s="143">
        <v>14.24</v>
      </c>
      <c r="N85" s="143">
        <v>6.61</v>
      </c>
      <c r="O85" s="143">
        <v>1.97</v>
      </c>
      <c r="P85" s="143">
        <v>1.28</v>
      </c>
      <c r="Q85" s="143">
        <v>0.02</v>
      </c>
      <c r="R85" s="143">
        <v>57.09</v>
      </c>
    </row>
    <row r="86" spans="2:18" x14ac:dyDescent="0.35">
      <c r="B86" s="58">
        <v>45323</v>
      </c>
      <c r="D86">
        <v>41.71</v>
      </c>
      <c r="E86" s="142">
        <v>1404.8</v>
      </c>
      <c r="F86" s="142">
        <v>115.36</v>
      </c>
      <c r="G86" s="142">
        <v>576.41999999999996</v>
      </c>
      <c r="H86" s="142">
        <v>12.41</v>
      </c>
      <c r="I86" s="142">
        <v>9.99</v>
      </c>
      <c r="J86" s="142">
        <v>3640.96</v>
      </c>
      <c r="K86" s="142"/>
      <c r="L86" s="142">
        <v>3.73</v>
      </c>
      <c r="M86" s="143">
        <v>67.260000000000005</v>
      </c>
      <c r="N86" s="143">
        <v>10.9</v>
      </c>
      <c r="O86" s="146">
        <v>15.36</v>
      </c>
      <c r="P86" s="143">
        <v>0.04</v>
      </c>
      <c r="Q86" s="143">
        <v>0.06</v>
      </c>
      <c r="R86" s="143">
        <v>24.66</v>
      </c>
    </row>
    <row r="87" spans="2:18" x14ac:dyDescent="0.35">
      <c r="B87" s="58">
        <v>45352</v>
      </c>
      <c r="D87">
        <v>152</v>
      </c>
      <c r="E87" s="142">
        <v>1584.8</v>
      </c>
      <c r="F87" s="142">
        <v>68.150000000000006</v>
      </c>
      <c r="G87" s="142">
        <v>730.71</v>
      </c>
      <c r="H87" s="142">
        <v>15.3</v>
      </c>
      <c r="I87" s="142">
        <v>8.16</v>
      </c>
      <c r="J87" s="142">
        <v>2415.1999999999998</v>
      </c>
      <c r="K87" s="142"/>
      <c r="L87" s="142">
        <v>2.95</v>
      </c>
      <c r="M87" s="143">
        <v>22.7</v>
      </c>
      <c r="N87" s="143">
        <v>6.68</v>
      </c>
      <c r="O87" s="143">
        <v>38.01</v>
      </c>
      <c r="P87" s="143">
        <v>0.42</v>
      </c>
      <c r="Q87" s="143">
        <v>35.06</v>
      </c>
      <c r="R87" s="143">
        <v>77.11</v>
      </c>
    </row>
    <row r="88" spans="2:18" x14ac:dyDescent="0.35">
      <c r="B88" s="58">
        <v>45383</v>
      </c>
      <c r="D88">
        <v>95.3</v>
      </c>
      <c r="E88" s="142">
        <v>1414.76</v>
      </c>
      <c r="F88" s="142">
        <v>47.53</v>
      </c>
      <c r="G88" s="142">
        <v>508.27</v>
      </c>
      <c r="H88" s="142">
        <v>12.5</v>
      </c>
      <c r="I88" s="142">
        <v>17.71</v>
      </c>
      <c r="J88" s="142">
        <v>4862.8500000000004</v>
      </c>
      <c r="K88" s="142"/>
      <c r="L88" s="142">
        <v>1.08</v>
      </c>
      <c r="M88" s="146">
        <v>21.91</v>
      </c>
      <c r="N88" s="143">
        <v>9.17</v>
      </c>
      <c r="O88" s="143">
        <v>1.64</v>
      </c>
      <c r="P88" s="143">
        <v>0.04</v>
      </c>
      <c r="Q88" s="143">
        <v>0.36</v>
      </c>
      <c r="R88" s="143">
        <v>78.75</v>
      </c>
    </row>
    <row r="89" spans="2:18" x14ac:dyDescent="0.35">
      <c r="B89" s="58">
        <v>45413</v>
      </c>
      <c r="D89">
        <v>363.85</v>
      </c>
      <c r="E89" s="142" t="s">
        <v>158</v>
      </c>
      <c r="F89" s="142">
        <v>102.54</v>
      </c>
      <c r="G89" s="142">
        <v>1096.8800000000001</v>
      </c>
      <c r="H89" s="142">
        <v>22.13</v>
      </c>
      <c r="I89" s="142">
        <v>8.91</v>
      </c>
      <c r="J89" s="142">
        <v>3650.71</v>
      </c>
      <c r="K89" s="142"/>
      <c r="L89" s="142">
        <v>15.73</v>
      </c>
      <c r="M89" s="143">
        <v>42.16</v>
      </c>
      <c r="N89" s="143">
        <v>9.34</v>
      </c>
      <c r="O89" s="143">
        <v>6.3</v>
      </c>
      <c r="P89" s="143">
        <v>0.01</v>
      </c>
      <c r="Q89" s="143">
        <v>0.2</v>
      </c>
      <c r="R89" s="143">
        <v>88.1</v>
      </c>
    </row>
    <row r="90" spans="2:18" x14ac:dyDescent="0.35">
      <c r="B90" s="58">
        <v>45444</v>
      </c>
      <c r="D90">
        <v>144.59</v>
      </c>
      <c r="E90" s="142">
        <v>1985.84</v>
      </c>
      <c r="F90" s="142">
        <v>182.93</v>
      </c>
      <c r="G90" s="142">
        <v>794.35</v>
      </c>
      <c r="H90" s="142">
        <v>12.68</v>
      </c>
      <c r="I90" s="142">
        <v>6.05</v>
      </c>
      <c r="J90" s="142">
        <v>3172.93</v>
      </c>
      <c r="K90" s="142"/>
      <c r="L90" s="142">
        <v>4.0199999999999996</v>
      </c>
      <c r="M90" s="143">
        <v>186.38</v>
      </c>
      <c r="N90" s="143">
        <v>8.41</v>
      </c>
      <c r="O90" s="143">
        <v>8.7799999999999994</v>
      </c>
      <c r="P90" s="143">
        <v>0.02</v>
      </c>
      <c r="Q90" s="143"/>
      <c r="R90" s="143">
        <v>48.16</v>
      </c>
    </row>
    <row r="91" spans="2:18" x14ac:dyDescent="0.35">
      <c r="B91" s="58">
        <v>45474</v>
      </c>
      <c r="D91">
        <v>89.82</v>
      </c>
      <c r="E91" s="142">
        <v>2565.36</v>
      </c>
      <c r="F91" s="142">
        <v>65.95</v>
      </c>
      <c r="G91" s="142">
        <v>1019.35</v>
      </c>
      <c r="H91" s="142">
        <v>17.36</v>
      </c>
      <c r="I91" s="142">
        <v>17.36</v>
      </c>
      <c r="J91" s="142">
        <v>6616.71</v>
      </c>
      <c r="K91" s="142"/>
      <c r="L91" s="142">
        <v>36.46</v>
      </c>
      <c r="M91" s="143">
        <v>32.090000000000003</v>
      </c>
      <c r="N91" s="143">
        <v>10.24</v>
      </c>
      <c r="O91" s="143">
        <v>36.9</v>
      </c>
      <c r="P91" s="143"/>
      <c r="Q91" s="143">
        <v>0.04</v>
      </c>
      <c r="R91" s="143">
        <v>255.97</v>
      </c>
    </row>
    <row r="92" spans="2:18" x14ac:dyDescent="0.35">
      <c r="B92" s="58">
        <v>45505</v>
      </c>
      <c r="D92">
        <v>285.05</v>
      </c>
      <c r="E92" s="143">
        <v>933.33</v>
      </c>
      <c r="F92" s="143">
        <v>136.54</v>
      </c>
      <c r="G92" s="143">
        <v>919.82</v>
      </c>
      <c r="H92" s="143">
        <v>7.92</v>
      </c>
      <c r="I92" s="143">
        <v>22.79</v>
      </c>
      <c r="J92" s="142">
        <v>2734.53</v>
      </c>
      <c r="K92" s="143"/>
      <c r="L92" s="143">
        <v>8.4</v>
      </c>
      <c r="M92" s="143">
        <v>32.35</v>
      </c>
      <c r="N92" s="143">
        <v>10.63</v>
      </c>
      <c r="O92" s="143">
        <v>16.309999999999999</v>
      </c>
      <c r="P92" s="143">
        <v>0.05</v>
      </c>
      <c r="Q92" s="143">
        <v>0.12</v>
      </c>
      <c r="R92" s="143">
        <v>119.3</v>
      </c>
    </row>
    <row r="93" spans="2:18" x14ac:dyDescent="0.35">
      <c r="B93" s="58">
        <v>45536</v>
      </c>
      <c r="D93">
        <v>103.2</v>
      </c>
      <c r="E93" s="143">
        <v>1457.17</v>
      </c>
      <c r="F93" s="143">
        <v>101.99</v>
      </c>
      <c r="G93" s="143">
        <v>680.06</v>
      </c>
      <c r="H93" s="143">
        <v>21.8</v>
      </c>
      <c r="I93" s="143">
        <v>23.65</v>
      </c>
      <c r="J93" s="142">
        <v>2879.36</v>
      </c>
      <c r="K93" s="143"/>
      <c r="L93" s="143">
        <v>7.31</v>
      </c>
      <c r="M93" s="143">
        <v>46.97</v>
      </c>
      <c r="N93" s="143">
        <v>16.57</v>
      </c>
      <c r="O93" s="143">
        <v>5.76</v>
      </c>
      <c r="P93" s="143"/>
      <c r="Q93" s="143">
        <v>129.22</v>
      </c>
      <c r="R93" s="143">
        <v>364.13</v>
      </c>
    </row>
    <row r="94" spans="2:18" x14ac:dyDescent="0.35">
      <c r="B94" s="58">
        <v>45566</v>
      </c>
      <c r="D94" s="143">
        <v>153.76</v>
      </c>
      <c r="E94" s="143">
        <v>1354.1</v>
      </c>
      <c r="F94" s="143">
        <v>78.459999999999994</v>
      </c>
      <c r="G94" s="143">
        <v>902.88</v>
      </c>
      <c r="H94" s="143">
        <v>22.55</v>
      </c>
      <c r="I94" s="143">
        <v>17.649999999999999</v>
      </c>
      <c r="J94" s="143">
        <v>2822.87</v>
      </c>
      <c r="K94" s="143"/>
      <c r="L94" s="143">
        <v>28.99</v>
      </c>
      <c r="M94" s="143">
        <v>46.5</v>
      </c>
      <c r="N94" s="143">
        <v>8.93</v>
      </c>
      <c r="O94" s="143">
        <v>5.0999999999999996</v>
      </c>
      <c r="P94" s="143" t="s">
        <v>71</v>
      </c>
      <c r="Q94" s="143">
        <v>64.8</v>
      </c>
      <c r="R94" s="143">
        <v>97.61</v>
      </c>
    </row>
    <row r="95" spans="2:18" x14ac:dyDescent="0.35">
      <c r="B95" s="58">
        <v>45597</v>
      </c>
      <c r="D95" s="143">
        <v>210.33</v>
      </c>
      <c r="E95" s="143">
        <v>1027.3900000000001</v>
      </c>
      <c r="F95" s="143">
        <v>66.84</v>
      </c>
      <c r="G95" s="143">
        <v>1095.42</v>
      </c>
      <c r="H95" s="143">
        <v>9.24</v>
      </c>
      <c r="I95" s="143">
        <v>10.44</v>
      </c>
      <c r="J95" s="143">
        <v>2820.58</v>
      </c>
      <c r="K95" s="143"/>
      <c r="L95" s="143">
        <v>4.76</v>
      </c>
      <c r="M95" s="143">
        <v>57.76</v>
      </c>
      <c r="N95" s="143">
        <v>11.45</v>
      </c>
      <c r="O95" s="143">
        <v>7.87</v>
      </c>
      <c r="P95" s="143">
        <v>0.06</v>
      </c>
      <c r="Q95" s="143">
        <v>0.14000000000000001</v>
      </c>
      <c r="R95" s="143">
        <v>161.61000000000001</v>
      </c>
    </row>
    <row r="96" spans="2:18" x14ac:dyDescent="0.35">
      <c r="B96" s="58">
        <v>45627</v>
      </c>
      <c r="D96" s="143">
        <v>117.92</v>
      </c>
      <c r="E96" s="143">
        <v>1263.18</v>
      </c>
      <c r="F96" s="143">
        <v>77.08</v>
      </c>
      <c r="G96" s="143">
        <v>610.30999999999995</v>
      </c>
      <c r="H96" s="143">
        <v>8.25</v>
      </c>
      <c r="I96" s="143">
        <v>8.01</v>
      </c>
      <c r="J96" s="143">
        <v>1681.27</v>
      </c>
      <c r="K96" s="143"/>
      <c r="L96" s="143">
        <v>18.559999999999999</v>
      </c>
      <c r="M96" s="143">
        <v>28.26</v>
      </c>
      <c r="N96" s="143">
        <v>26.36</v>
      </c>
      <c r="O96" s="143">
        <v>40.96</v>
      </c>
      <c r="P96" s="143">
        <v>7.0000000000000007E-2</v>
      </c>
      <c r="Q96" s="143">
        <v>0.08</v>
      </c>
      <c r="R96" s="143">
        <v>434.63</v>
      </c>
    </row>
    <row r="97" spans="2:18" x14ac:dyDescent="0.35">
      <c r="B97" s="58">
        <v>45658</v>
      </c>
      <c r="D97" s="143">
        <v>228.74</v>
      </c>
      <c r="E97" s="142">
        <v>2040.23</v>
      </c>
      <c r="F97" s="143">
        <v>133.65</v>
      </c>
      <c r="G97" s="143">
        <v>739.72</v>
      </c>
      <c r="H97" s="143">
        <v>11.48</v>
      </c>
      <c r="I97" s="143">
        <v>8.06</v>
      </c>
      <c r="J97" s="142">
        <v>3227.22</v>
      </c>
      <c r="K97" s="143"/>
      <c r="L97" s="143">
        <v>10.19</v>
      </c>
      <c r="M97" s="143">
        <v>47.31</v>
      </c>
      <c r="N97" s="143">
        <v>11.86</v>
      </c>
      <c r="O97" s="143">
        <v>7.67</v>
      </c>
      <c r="P97" s="143"/>
      <c r="Q97" s="143">
        <v>0.09</v>
      </c>
      <c r="R97" s="143">
        <v>67.06</v>
      </c>
    </row>
    <row r="98" spans="2:18" x14ac:dyDescent="0.35">
      <c r="B98" s="58">
        <v>45689</v>
      </c>
      <c r="D98" s="143">
        <v>124.38</v>
      </c>
      <c r="E98" s="142">
        <v>1135.6600000000001</v>
      </c>
      <c r="F98" s="143">
        <v>86.11</v>
      </c>
      <c r="G98" s="143">
        <v>791.43</v>
      </c>
      <c r="H98" s="143">
        <v>13.65</v>
      </c>
      <c r="I98" s="143">
        <v>10.65</v>
      </c>
      <c r="J98" s="142">
        <v>2045.23</v>
      </c>
      <c r="K98" s="143"/>
      <c r="L98" s="143">
        <v>7.75</v>
      </c>
      <c r="M98" s="143">
        <v>4.68</v>
      </c>
      <c r="N98" s="143">
        <v>1.38</v>
      </c>
      <c r="O98" s="143">
        <v>0.2</v>
      </c>
      <c r="P98" s="143">
        <v>16.45</v>
      </c>
      <c r="Q98" s="143"/>
      <c r="R98" s="143">
        <v>147.05000000000001</v>
      </c>
    </row>
    <row r="99" spans="2:18" x14ac:dyDescent="0.35">
      <c r="B99" s="58">
        <v>45717</v>
      </c>
      <c r="D99" s="143">
        <v>101.76</v>
      </c>
      <c r="E99" s="142">
        <v>1271.2</v>
      </c>
      <c r="F99" s="143">
        <v>85.06</v>
      </c>
      <c r="G99" s="143">
        <v>673.28</v>
      </c>
      <c r="H99" s="143">
        <v>26.61</v>
      </c>
      <c r="I99" s="143">
        <v>20.07</v>
      </c>
      <c r="J99" s="142">
        <v>2435.5500000000002</v>
      </c>
      <c r="K99" s="143"/>
      <c r="L99" s="143">
        <v>89.16</v>
      </c>
      <c r="M99" s="143">
        <v>66.84</v>
      </c>
      <c r="N99" s="143">
        <v>21.38</v>
      </c>
      <c r="O99" s="143">
        <v>3.52</v>
      </c>
      <c r="P99" s="143">
        <v>4.84</v>
      </c>
      <c r="Q99" s="143">
        <v>0.06</v>
      </c>
      <c r="R99" s="143">
        <v>126.65</v>
      </c>
    </row>
    <row r="100" spans="2:18" x14ac:dyDescent="0.35">
      <c r="B100" s="58">
        <v>45748</v>
      </c>
      <c r="D100" s="143">
        <v>177.04</v>
      </c>
      <c r="E100" s="142">
        <v>1517.94</v>
      </c>
      <c r="F100" s="143">
        <v>132.1</v>
      </c>
      <c r="G100" s="143">
        <v>979.38</v>
      </c>
      <c r="H100" s="143">
        <v>28.78</v>
      </c>
      <c r="I100" s="143">
        <v>7.53</v>
      </c>
      <c r="J100" s="142">
        <v>3717.73</v>
      </c>
      <c r="K100" s="143"/>
      <c r="L100" s="143">
        <v>9.15</v>
      </c>
      <c r="M100" s="143">
        <v>67.78</v>
      </c>
      <c r="N100" s="143">
        <v>6.07</v>
      </c>
      <c r="O100" s="143">
        <v>27.22</v>
      </c>
      <c r="P100" s="143">
        <v>0.01</v>
      </c>
      <c r="Q100" s="143">
        <v>0.24</v>
      </c>
      <c r="R100" s="143">
        <v>86.71</v>
      </c>
    </row>
    <row r="101" spans="2:18" x14ac:dyDescent="0.35">
      <c r="B101" s="58">
        <v>45778</v>
      </c>
      <c r="D101" s="143">
        <v>72.489999999999995</v>
      </c>
      <c r="E101" s="142">
        <v>1362.27</v>
      </c>
      <c r="F101" s="143">
        <v>103.88</v>
      </c>
      <c r="G101" s="143">
        <v>593.69000000000005</v>
      </c>
      <c r="H101" s="143">
        <v>14.93</v>
      </c>
      <c r="I101" s="143">
        <v>12.64</v>
      </c>
      <c r="J101" s="142">
        <v>2077.2800000000002</v>
      </c>
      <c r="K101" s="143"/>
      <c r="L101" s="143">
        <v>5.48</v>
      </c>
      <c r="M101" s="143">
        <v>43.64</v>
      </c>
      <c r="N101" s="143">
        <v>8.6</v>
      </c>
      <c r="O101" s="143">
        <v>4.91</v>
      </c>
      <c r="P101" s="143">
        <v>0.38</v>
      </c>
      <c r="Q101" s="143">
        <v>5.0599999999999996</v>
      </c>
      <c r="R101" s="143">
        <v>82.5</v>
      </c>
    </row>
    <row r="102" spans="2:18" x14ac:dyDescent="0.35">
      <c r="B102" s="58">
        <v>45809</v>
      </c>
      <c r="D102" s="143">
        <v>101.76</v>
      </c>
      <c r="E102" s="142">
        <v>1519.98</v>
      </c>
      <c r="F102" s="143">
        <v>36.29</v>
      </c>
      <c r="G102" s="143">
        <v>977.07</v>
      </c>
      <c r="H102" s="143">
        <v>33.83</v>
      </c>
      <c r="I102" s="143">
        <v>32.75</v>
      </c>
      <c r="J102" s="142">
        <v>4890.45</v>
      </c>
      <c r="K102" s="143"/>
      <c r="L102" s="143">
        <v>9.17</v>
      </c>
      <c r="M102" s="143">
        <v>12.49</v>
      </c>
      <c r="N102" s="143">
        <v>8.09</v>
      </c>
      <c r="O102" s="143">
        <v>21.37</v>
      </c>
      <c r="P102" s="143">
        <v>0.05</v>
      </c>
      <c r="Q102" s="143">
        <v>0.34</v>
      </c>
      <c r="R102" s="143">
        <v>35.979999999999997</v>
      </c>
    </row>
    <row r="103" spans="2:18" x14ac:dyDescent="0.35">
      <c r="B103" s="58">
        <v>45839</v>
      </c>
      <c r="D103" s="143">
        <v>240.85</v>
      </c>
      <c r="E103" s="142">
        <v>4060.83</v>
      </c>
      <c r="F103" s="143">
        <v>115.87</v>
      </c>
      <c r="G103" s="143">
        <v>858.7</v>
      </c>
      <c r="H103" s="143">
        <v>14.99</v>
      </c>
      <c r="I103" s="143">
        <v>8.4499999999999993</v>
      </c>
      <c r="J103" s="142">
        <v>5298.9</v>
      </c>
      <c r="K103" s="143"/>
      <c r="L103" s="143">
        <v>3.38</v>
      </c>
      <c r="M103" s="143">
        <v>29.6</v>
      </c>
      <c r="N103" s="143">
        <v>9.93</v>
      </c>
      <c r="O103" s="143">
        <v>2.52</v>
      </c>
      <c r="P103" s="143">
        <v>1.44</v>
      </c>
      <c r="Q103" s="143">
        <v>0.21</v>
      </c>
      <c r="R103" s="143">
        <v>176.38</v>
      </c>
    </row>
    <row r="104" spans="2:18" x14ac:dyDescent="0.35">
      <c r="B104" s="58">
        <v>45870</v>
      </c>
      <c r="D104" s="143">
        <v>28.72</v>
      </c>
      <c r="E104" s="142">
        <v>2858.33</v>
      </c>
      <c r="F104" s="143">
        <v>61.63</v>
      </c>
      <c r="G104" s="143">
        <v>834.88</v>
      </c>
      <c r="H104" s="143">
        <v>12.58</v>
      </c>
      <c r="I104" s="143">
        <v>6.66</v>
      </c>
      <c r="J104" s="142">
        <v>2218.62</v>
      </c>
      <c r="K104" s="143"/>
      <c r="L104" s="143">
        <v>1.55</v>
      </c>
      <c r="M104" s="143">
        <v>25.77</v>
      </c>
      <c r="N104" s="143">
        <v>9.2200000000000006</v>
      </c>
      <c r="O104" s="143">
        <v>11.4</v>
      </c>
      <c r="P104" s="143">
        <v>0.01</v>
      </c>
      <c r="Q104" s="143">
        <v>0.03</v>
      </c>
      <c r="R104" s="143">
        <v>148.74</v>
      </c>
    </row>
    <row r="105" spans="2:18" x14ac:dyDescent="0.35">
      <c r="B105" s="58">
        <v>45901</v>
      </c>
      <c r="D105" s="143">
        <v>170.73</v>
      </c>
      <c r="E105" s="142">
        <v>1101.77</v>
      </c>
      <c r="F105" s="143">
        <v>70.09</v>
      </c>
      <c r="G105" s="143">
        <v>749.89</v>
      </c>
      <c r="H105" s="143">
        <v>18.45</v>
      </c>
      <c r="I105" s="143">
        <v>11.44</v>
      </c>
      <c r="J105" s="142">
        <v>3043.56</v>
      </c>
      <c r="K105" s="143"/>
      <c r="L105" s="143">
        <v>28.06</v>
      </c>
      <c r="M105" s="143">
        <v>19.04</v>
      </c>
      <c r="N105" s="143">
        <v>6.9</v>
      </c>
      <c r="O105" s="143">
        <v>14.68</v>
      </c>
      <c r="P105" s="143">
        <v>0.99</v>
      </c>
      <c r="Q105" s="143">
        <v>0.17</v>
      </c>
      <c r="R105" s="143">
        <v>208.31</v>
      </c>
    </row>
    <row r="106" spans="2:18" x14ac:dyDescent="0.35">
      <c r="B106" s="58">
        <v>45931</v>
      </c>
      <c r="D106" s="143">
        <v>236.71</v>
      </c>
      <c r="E106" s="142">
        <v>697.5</v>
      </c>
      <c r="F106" s="143">
        <v>54.64</v>
      </c>
      <c r="G106" s="143">
        <v>831.1</v>
      </c>
      <c r="H106" s="143">
        <v>14.48</v>
      </c>
      <c r="I106" s="143">
        <v>5.12</v>
      </c>
      <c r="J106" s="142">
        <v>2525.69</v>
      </c>
      <c r="K106" s="143"/>
      <c r="L106" s="143">
        <v>19.18</v>
      </c>
      <c r="M106" s="143">
        <v>55.9</v>
      </c>
      <c r="N106" s="143">
        <v>6.79</v>
      </c>
      <c r="O106" s="143">
        <v>17.809999999999999</v>
      </c>
      <c r="P106" s="143">
        <v>0.01</v>
      </c>
      <c r="Q106" s="143">
        <v>1.41</v>
      </c>
      <c r="R106" s="143">
        <v>125.91</v>
      </c>
    </row>
    <row r="107" spans="2:18" x14ac:dyDescent="0.35">
      <c r="B107" s="58">
        <v>45962</v>
      </c>
      <c r="D107" s="143">
        <v>141.97</v>
      </c>
      <c r="E107" s="142">
        <v>2101.16</v>
      </c>
      <c r="F107" s="143">
        <v>46.08</v>
      </c>
      <c r="G107" s="143">
        <v>761.58</v>
      </c>
      <c r="H107" s="143">
        <v>8.33</v>
      </c>
      <c r="I107" s="143">
        <v>29.23</v>
      </c>
      <c r="J107" s="142">
        <v>2042.34</v>
      </c>
      <c r="K107" s="143"/>
      <c r="L107" s="143">
        <v>18.39</v>
      </c>
      <c r="M107" s="143">
        <v>50.36</v>
      </c>
      <c r="N107" s="143">
        <v>9.9499999999999993</v>
      </c>
      <c r="O107" s="143">
        <v>6.81</v>
      </c>
      <c r="P107" s="143">
        <v>5.12</v>
      </c>
      <c r="Q107" s="143">
        <v>1.9</v>
      </c>
      <c r="R107" s="143">
        <v>115.53</v>
      </c>
    </row>
    <row r="108" spans="2:18" x14ac:dyDescent="0.35">
      <c r="B108" s="58">
        <v>45992</v>
      </c>
      <c r="D108" s="143">
        <v>216.24</v>
      </c>
      <c r="E108" s="142">
        <v>3285.4</v>
      </c>
      <c r="F108" s="143">
        <v>102.96</v>
      </c>
      <c r="G108" s="143">
        <v>1095.6400000000001</v>
      </c>
      <c r="H108" s="143">
        <v>7.62</v>
      </c>
      <c r="I108" s="143">
        <v>10.65</v>
      </c>
      <c r="J108" s="142">
        <v>3796.31</v>
      </c>
      <c r="K108" s="143"/>
      <c r="L108" s="143">
        <v>17.34</v>
      </c>
      <c r="M108" s="143">
        <v>14.73</v>
      </c>
      <c r="N108" s="143">
        <v>6.38</v>
      </c>
      <c r="O108" s="143">
        <v>1.23</v>
      </c>
      <c r="P108" s="143">
        <v>1.04</v>
      </c>
      <c r="Q108" s="143">
        <v>0.04</v>
      </c>
      <c r="R108" s="143">
        <v>132.30000000000001</v>
      </c>
    </row>
    <row r="109" spans="2:18" x14ac:dyDescent="0.35">
      <c r="B109" s="58">
        <v>46023</v>
      </c>
      <c r="D109" s="143"/>
      <c r="E109" s="142"/>
      <c r="F109" s="143"/>
      <c r="G109" s="143"/>
      <c r="H109" s="143"/>
      <c r="I109" s="143"/>
      <c r="J109" s="142"/>
      <c r="K109" s="143"/>
      <c r="L109" s="143"/>
      <c r="M109" s="143"/>
      <c r="N109" s="143"/>
      <c r="O109" s="143"/>
      <c r="P109" s="143"/>
      <c r="Q109" s="143"/>
      <c r="R109" s="143"/>
    </row>
    <row r="110" spans="2:18" x14ac:dyDescent="0.35">
      <c r="B110" s="58">
        <v>46054</v>
      </c>
      <c r="D110" s="143"/>
      <c r="E110" s="142"/>
      <c r="F110" s="143"/>
      <c r="G110" s="143"/>
      <c r="H110" s="143"/>
      <c r="I110" s="143"/>
      <c r="J110" s="142"/>
      <c r="K110" s="143"/>
      <c r="L110" s="143"/>
      <c r="M110" s="143"/>
      <c r="N110" s="143"/>
      <c r="O110" s="143"/>
      <c r="P110" s="143"/>
      <c r="Q110" s="143"/>
      <c r="R110" s="143"/>
    </row>
    <row r="111" spans="2:18" x14ac:dyDescent="0.35">
      <c r="B111" s="58">
        <v>46082</v>
      </c>
      <c r="D111" s="143"/>
      <c r="E111" s="142"/>
      <c r="F111" s="143"/>
      <c r="G111" s="143"/>
      <c r="H111" s="143"/>
      <c r="I111" s="143"/>
      <c r="J111" s="142"/>
      <c r="K111" s="143"/>
      <c r="L111" s="143"/>
      <c r="M111" s="143"/>
      <c r="N111" s="143"/>
      <c r="O111" s="143"/>
      <c r="P111" s="143"/>
      <c r="Q111" s="143"/>
      <c r="R111" s="143"/>
    </row>
    <row r="112" spans="2:18" x14ac:dyDescent="0.35">
      <c r="B112" s="58">
        <v>46113</v>
      </c>
      <c r="D112" s="143"/>
      <c r="E112" s="142"/>
      <c r="F112" s="143"/>
      <c r="G112" s="143"/>
      <c r="H112" s="143"/>
      <c r="I112" s="143"/>
      <c r="J112" s="142"/>
      <c r="K112" s="143"/>
      <c r="L112" s="143"/>
      <c r="M112" s="143"/>
      <c r="N112" s="143"/>
      <c r="O112" s="143"/>
      <c r="P112" s="143"/>
      <c r="Q112" s="143"/>
      <c r="R112" s="143"/>
    </row>
    <row r="113" spans="2:18" x14ac:dyDescent="0.35">
      <c r="B113" s="58"/>
      <c r="D113" s="143"/>
      <c r="E113" s="142"/>
      <c r="F113" s="143"/>
      <c r="G113" s="143"/>
      <c r="H113" s="143"/>
      <c r="I113" s="143"/>
      <c r="J113" s="142"/>
      <c r="K113" s="143"/>
      <c r="L113" s="143"/>
      <c r="M113" s="143"/>
      <c r="N113" s="143"/>
      <c r="O113" s="143"/>
      <c r="P113" s="143"/>
      <c r="Q113" s="143"/>
      <c r="R113" s="143"/>
    </row>
    <row r="114" spans="2:18" x14ac:dyDescent="0.35">
      <c r="B114" s="58"/>
      <c r="D114" s="143"/>
      <c r="E114" s="142"/>
      <c r="F114" s="143"/>
      <c r="G114" s="143"/>
      <c r="H114" s="143"/>
      <c r="I114" s="143"/>
      <c r="J114" s="142"/>
      <c r="K114" s="143"/>
      <c r="L114" s="143"/>
      <c r="M114" s="143"/>
      <c r="N114" s="143"/>
      <c r="O114" s="143"/>
      <c r="P114" s="143"/>
      <c r="Q114" s="143"/>
      <c r="R114" s="143"/>
    </row>
    <row r="115" spans="2:18" x14ac:dyDescent="0.35">
      <c r="B115" s="58"/>
      <c r="D115" s="143"/>
      <c r="E115" s="142"/>
      <c r="F115" s="143"/>
      <c r="G115" s="143"/>
      <c r="H115" s="143"/>
      <c r="I115" s="143"/>
      <c r="J115" s="142"/>
      <c r="K115" s="143"/>
      <c r="L115" s="143"/>
      <c r="M115" s="143"/>
      <c r="N115" s="143"/>
      <c r="O115" s="143"/>
      <c r="P115" s="143"/>
      <c r="Q115" s="143"/>
      <c r="R115" s="143"/>
    </row>
    <row r="116" spans="2:18" x14ac:dyDescent="0.35">
      <c r="B116" s="58"/>
      <c r="D116" s="143"/>
      <c r="E116" s="142"/>
      <c r="F116" s="143"/>
      <c r="G116" s="143"/>
      <c r="H116" s="143"/>
      <c r="I116" s="143"/>
      <c r="J116" s="142"/>
      <c r="K116" s="143"/>
      <c r="L116" s="143"/>
      <c r="M116" s="143"/>
      <c r="N116" s="143"/>
      <c r="O116" s="143"/>
      <c r="P116" s="143"/>
      <c r="Q116" s="143"/>
      <c r="R116" s="1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6E5-E216-4763-A7E6-7384AD5DEF57}">
  <dimension ref="B2:I252"/>
  <sheetViews>
    <sheetView workbookViewId="0">
      <pane ySplit="4" topLeftCell="A225" activePane="bottomLeft" state="frozen"/>
      <selection pane="bottomLeft" activeCell="B225" sqref="B225:B236"/>
    </sheetView>
  </sheetViews>
  <sheetFormatPr defaultColWidth="8.81640625" defaultRowHeight="14.5" x14ac:dyDescent="0.35"/>
  <cols>
    <col min="2" max="2" width="8.90625" bestFit="1" customWidth="1"/>
    <col min="3" max="3" width="14.7265625" bestFit="1" customWidth="1"/>
    <col min="4" max="4" width="17.81640625" bestFit="1" customWidth="1"/>
    <col min="5" max="5" width="11.90625" bestFit="1" customWidth="1"/>
    <col min="6" max="6" width="14.26953125" bestFit="1" customWidth="1"/>
    <col min="7" max="7" width="8.90625" bestFit="1" customWidth="1"/>
    <col min="8" max="8" width="10.26953125" customWidth="1"/>
    <col min="9" max="9" width="15.26953125" bestFit="1" customWidth="1"/>
  </cols>
  <sheetData>
    <row r="2" spans="2:9" x14ac:dyDescent="0.35">
      <c r="I2" s="18"/>
    </row>
    <row r="3" spans="2:9" x14ac:dyDescent="0.35">
      <c r="B3" s="1"/>
      <c r="C3" s="4"/>
      <c r="D3" s="4"/>
      <c r="E3" s="4"/>
      <c r="F3" s="4"/>
      <c r="G3" s="4"/>
      <c r="H3" s="4"/>
      <c r="I3" s="113" t="s">
        <v>56</v>
      </c>
    </row>
    <row r="4" spans="2:9" x14ac:dyDescent="0.35">
      <c r="B4" s="112" t="s">
        <v>33</v>
      </c>
      <c r="C4" s="101" t="s">
        <v>53</v>
      </c>
      <c r="D4" s="108" t="s">
        <v>54</v>
      </c>
      <c r="E4" s="109" t="s">
        <v>55</v>
      </c>
      <c r="F4" s="110" t="s">
        <v>146</v>
      </c>
      <c r="G4" s="110" t="s">
        <v>148</v>
      </c>
      <c r="H4" s="110" t="s">
        <v>147</v>
      </c>
      <c r="I4" s="111" t="s">
        <v>42</v>
      </c>
    </row>
    <row r="5" spans="2:9" x14ac:dyDescent="0.35">
      <c r="B5" s="58">
        <v>38961</v>
      </c>
      <c r="C5" s="4">
        <v>225.6</v>
      </c>
      <c r="D5" s="4">
        <v>89.69</v>
      </c>
      <c r="E5" s="4">
        <v>185.8</v>
      </c>
      <c r="F5" s="4">
        <v>0</v>
      </c>
      <c r="G5" s="4">
        <v>0</v>
      </c>
      <c r="H5" s="4">
        <v>0</v>
      </c>
      <c r="I5" s="34">
        <v>501.09</v>
      </c>
    </row>
    <row r="6" spans="2:9" x14ac:dyDescent="0.35">
      <c r="B6" s="58">
        <v>38991</v>
      </c>
      <c r="C6" s="4">
        <v>233.2</v>
      </c>
      <c r="D6" s="4">
        <v>85.79</v>
      </c>
      <c r="E6" s="4">
        <v>197.68</v>
      </c>
      <c r="F6" s="4">
        <v>0</v>
      </c>
      <c r="G6" s="4">
        <v>0</v>
      </c>
      <c r="H6" s="4">
        <v>0</v>
      </c>
      <c r="I6" s="34">
        <v>516.66</v>
      </c>
    </row>
    <row r="7" spans="2:9" x14ac:dyDescent="0.35">
      <c r="B7" s="58">
        <v>39022</v>
      </c>
      <c r="C7" s="4">
        <v>273.75</v>
      </c>
      <c r="D7" s="4">
        <v>87.68</v>
      </c>
      <c r="E7" s="4">
        <v>149.49</v>
      </c>
      <c r="F7" s="4">
        <v>0</v>
      </c>
      <c r="G7" s="4">
        <v>0</v>
      </c>
      <c r="H7" s="4">
        <v>0</v>
      </c>
      <c r="I7" s="34">
        <v>510.92</v>
      </c>
    </row>
    <row r="8" spans="2:9" x14ac:dyDescent="0.35">
      <c r="B8" s="58">
        <v>39052</v>
      </c>
      <c r="C8" s="4">
        <v>283.33999999999997</v>
      </c>
      <c r="D8" s="4">
        <v>91.76</v>
      </c>
      <c r="E8" s="4">
        <v>128.15</v>
      </c>
      <c r="F8" s="4">
        <v>0</v>
      </c>
      <c r="G8" s="4">
        <v>0</v>
      </c>
      <c r="H8" s="4">
        <v>0</v>
      </c>
      <c r="I8" s="34">
        <v>503.26</v>
      </c>
    </row>
    <row r="9" spans="2:9" x14ac:dyDescent="0.35">
      <c r="B9" s="58">
        <v>39083</v>
      </c>
      <c r="C9" s="4">
        <v>320.48</v>
      </c>
      <c r="D9" s="4">
        <v>68.739999999999995</v>
      </c>
      <c r="E9" s="4">
        <v>137.63</v>
      </c>
      <c r="F9" s="4">
        <v>0</v>
      </c>
      <c r="G9" s="4">
        <v>0</v>
      </c>
      <c r="H9" s="4">
        <v>0</v>
      </c>
      <c r="I9" s="34">
        <v>526.85</v>
      </c>
    </row>
    <row r="10" spans="2:9" x14ac:dyDescent="0.35">
      <c r="B10" s="58">
        <v>39114</v>
      </c>
      <c r="C10" s="4">
        <v>251.87</v>
      </c>
      <c r="D10" s="4">
        <v>80.98</v>
      </c>
      <c r="E10" s="4">
        <v>149.52000000000001</v>
      </c>
      <c r="F10" s="4">
        <v>0</v>
      </c>
      <c r="G10" s="4">
        <v>0</v>
      </c>
      <c r="H10" s="4">
        <v>0</v>
      </c>
      <c r="I10" s="34">
        <v>482.37</v>
      </c>
    </row>
    <row r="11" spans="2:9" x14ac:dyDescent="0.35">
      <c r="B11" s="58">
        <v>39142</v>
      </c>
      <c r="C11" s="4">
        <v>299.5</v>
      </c>
      <c r="D11" s="4">
        <v>86.88</v>
      </c>
      <c r="E11" s="4">
        <v>148.94</v>
      </c>
      <c r="F11" s="4">
        <v>0</v>
      </c>
      <c r="G11" s="4">
        <v>0</v>
      </c>
      <c r="H11" s="4">
        <v>0</v>
      </c>
      <c r="I11" s="34">
        <v>535.32000000000005</v>
      </c>
    </row>
    <row r="12" spans="2:9" x14ac:dyDescent="0.35">
      <c r="B12" s="58">
        <v>39173</v>
      </c>
      <c r="C12" s="4">
        <v>285.08999999999997</v>
      </c>
      <c r="D12" s="4">
        <v>78.27</v>
      </c>
      <c r="E12" s="4">
        <v>101.44</v>
      </c>
      <c r="F12" s="4">
        <v>0</v>
      </c>
      <c r="G12" s="4">
        <v>0</v>
      </c>
      <c r="H12" s="4">
        <v>0</v>
      </c>
      <c r="I12" s="34">
        <v>464.8</v>
      </c>
    </row>
    <row r="13" spans="2:9" x14ac:dyDescent="0.35">
      <c r="B13" s="58">
        <v>39203</v>
      </c>
      <c r="C13" s="4">
        <v>307.76</v>
      </c>
      <c r="D13" s="4">
        <v>84.66</v>
      </c>
      <c r="E13" s="4">
        <v>144.13999999999999</v>
      </c>
      <c r="F13" s="4">
        <v>0</v>
      </c>
      <c r="G13" s="4">
        <v>0</v>
      </c>
      <c r="H13" s="4">
        <v>0</v>
      </c>
      <c r="I13" s="34">
        <v>536.55999999999995</v>
      </c>
    </row>
    <row r="14" spans="2:9" x14ac:dyDescent="0.35">
      <c r="B14" s="58">
        <v>39234</v>
      </c>
      <c r="C14" s="4">
        <v>312.04000000000002</v>
      </c>
      <c r="D14" s="4">
        <v>85.22</v>
      </c>
      <c r="E14" s="4">
        <v>144.63999999999999</v>
      </c>
      <c r="F14" s="4">
        <v>0</v>
      </c>
      <c r="G14" s="4">
        <v>0</v>
      </c>
      <c r="H14" s="4">
        <v>0</v>
      </c>
      <c r="I14" s="34">
        <v>541.9</v>
      </c>
    </row>
    <row r="15" spans="2:9" x14ac:dyDescent="0.35">
      <c r="B15" s="58">
        <v>39264</v>
      </c>
      <c r="C15" s="4">
        <v>297.8</v>
      </c>
      <c r="D15" s="4">
        <v>88.8</v>
      </c>
      <c r="E15" s="4">
        <v>152.69999999999999</v>
      </c>
      <c r="F15" s="4">
        <v>0</v>
      </c>
      <c r="G15" s="4">
        <v>0</v>
      </c>
      <c r="H15" s="4">
        <v>0</v>
      </c>
      <c r="I15" s="34">
        <v>539.29999999999995</v>
      </c>
    </row>
    <row r="16" spans="2:9" x14ac:dyDescent="0.35">
      <c r="B16" s="58">
        <v>39295</v>
      </c>
      <c r="C16" s="4">
        <v>300.8</v>
      </c>
      <c r="D16" s="4">
        <v>88.2</v>
      </c>
      <c r="E16" s="4">
        <v>151.80000000000001</v>
      </c>
      <c r="F16" s="4">
        <v>0</v>
      </c>
      <c r="G16" s="4">
        <v>0</v>
      </c>
      <c r="H16" s="4">
        <v>0</v>
      </c>
      <c r="I16" s="34">
        <v>540.82000000000005</v>
      </c>
    </row>
    <row r="17" spans="2:9" x14ac:dyDescent="0.35">
      <c r="B17" s="58">
        <v>39326</v>
      </c>
      <c r="C17" s="4">
        <v>297.2</v>
      </c>
      <c r="D17" s="4">
        <v>79.099999999999994</v>
      </c>
      <c r="E17" s="4">
        <v>150.6</v>
      </c>
      <c r="F17" s="4">
        <v>0</v>
      </c>
      <c r="G17" s="4">
        <v>0</v>
      </c>
      <c r="H17" s="4">
        <v>0</v>
      </c>
      <c r="I17" s="34">
        <v>526.92999999999995</v>
      </c>
    </row>
    <row r="18" spans="2:9" x14ac:dyDescent="0.35">
      <c r="B18" s="58">
        <v>39356</v>
      </c>
      <c r="C18" s="4">
        <v>305.2</v>
      </c>
      <c r="D18" s="4">
        <v>82.3</v>
      </c>
      <c r="E18" s="4">
        <v>154.30000000000001</v>
      </c>
      <c r="F18" s="4">
        <v>0</v>
      </c>
      <c r="G18" s="4">
        <v>0</v>
      </c>
      <c r="H18" s="4">
        <v>0</v>
      </c>
      <c r="I18" s="34">
        <v>541.79999999999995</v>
      </c>
    </row>
    <row r="19" spans="2:9" x14ac:dyDescent="0.35">
      <c r="B19" s="58">
        <v>39387</v>
      </c>
      <c r="C19" s="4">
        <v>307.39999999999998</v>
      </c>
      <c r="D19" s="4">
        <v>85.8</v>
      </c>
      <c r="E19" s="4">
        <v>147.5</v>
      </c>
      <c r="F19" s="4">
        <v>0</v>
      </c>
      <c r="G19" s="4">
        <v>0</v>
      </c>
      <c r="H19" s="4">
        <v>0</v>
      </c>
      <c r="I19" s="34">
        <v>540.70000000000005</v>
      </c>
    </row>
    <row r="20" spans="2:9" x14ac:dyDescent="0.35">
      <c r="B20" s="58">
        <v>39417</v>
      </c>
      <c r="C20" s="4">
        <v>299.60000000000002</v>
      </c>
      <c r="D20" s="4">
        <v>82.2</v>
      </c>
      <c r="E20" s="4">
        <v>128.69999999999999</v>
      </c>
      <c r="F20" s="4">
        <v>0</v>
      </c>
      <c r="G20" s="4">
        <v>0</v>
      </c>
      <c r="H20" s="4">
        <v>0</v>
      </c>
      <c r="I20" s="34">
        <v>510.5</v>
      </c>
    </row>
    <row r="21" spans="2:9" x14ac:dyDescent="0.35">
      <c r="B21" s="58">
        <v>39448</v>
      </c>
      <c r="C21" s="4">
        <v>287.8</v>
      </c>
      <c r="D21" s="4">
        <v>88.9</v>
      </c>
      <c r="E21" s="4">
        <v>93.5</v>
      </c>
      <c r="F21" s="4">
        <v>0</v>
      </c>
      <c r="G21" s="4">
        <v>0</v>
      </c>
      <c r="H21" s="4">
        <v>0</v>
      </c>
      <c r="I21" s="34">
        <v>470.23</v>
      </c>
    </row>
    <row r="22" spans="2:9" x14ac:dyDescent="0.35">
      <c r="B22" s="58">
        <v>39479</v>
      </c>
      <c r="C22" s="4">
        <v>276.89999999999998</v>
      </c>
      <c r="D22" s="4">
        <v>78.099999999999994</v>
      </c>
      <c r="E22" s="4">
        <v>100.2</v>
      </c>
      <c r="F22" s="4">
        <v>0</v>
      </c>
      <c r="G22" s="4">
        <v>0</v>
      </c>
      <c r="H22" s="4">
        <v>0</v>
      </c>
      <c r="I22" s="34">
        <v>455.13</v>
      </c>
    </row>
    <row r="23" spans="2:9" x14ac:dyDescent="0.35">
      <c r="B23" s="58">
        <v>39508</v>
      </c>
      <c r="C23" s="4">
        <v>290.2</v>
      </c>
      <c r="D23" s="4">
        <v>84.6</v>
      </c>
      <c r="E23" s="4">
        <v>115.1</v>
      </c>
      <c r="F23" s="4">
        <v>0</v>
      </c>
      <c r="G23" s="4">
        <v>0</v>
      </c>
      <c r="H23" s="4">
        <v>0</v>
      </c>
      <c r="I23" s="34">
        <v>489.96</v>
      </c>
    </row>
    <row r="24" spans="2:9" x14ac:dyDescent="0.35">
      <c r="B24" s="58">
        <v>39539</v>
      </c>
      <c r="C24" s="4">
        <v>280.60000000000002</v>
      </c>
      <c r="D24" s="4">
        <v>87.6</v>
      </c>
      <c r="E24" s="4">
        <v>122.6</v>
      </c>
      <c r="F24" s="4">
        <v>0</v>
      </c>
      <c r="G24" s="4">
        <v>0</v>
      </c>
      <c r="H24" s="4">
        <v>0</v>
      </c>
      <c r="I24" s="34">
        <v>490.76</v>
      </c>
    </row>
    <row r="25" spans="2:9" x14ac:dyDescent="0.35">
      <c r="B25" s="58">
        <v>39569</v>
      </c>
      <c r="C25" s="4">
        <v>291.89999999999998</v>
      </c>
      <c r="D25" s="4">
        <v>87.2</v>
      </c>
      <c r="E25" s="4">
        <v>118.4</v>
      </c>
      <c r="F25" s="4">
        <v>0</v>
      </c>
      <c r="G25" s="4">
        <v>0</v>
      </c>
      <c r="H25" s="4">
        <v>0</v>
      </c>
      <c r="I25" s="34">
        <v>497.49</v>
      </c>
    </row>
    <row r="26" spans="2:9" x14ac:dyDescent="0.35">
      <c r="B26" s="58">
        <v>39600</v>
      </c>
      <c r="C26" s="4">
        <v>252.63</v>
      </c>
      <c r="D26" s="4">
        <v>87.74</v>
      </c>
      <c r="E26" s="4">
        <v>122.54</v>
      </c>
      <c r="F26" s="4">
        <v>0</v>
      </c>
      <c r="G26" s="4">
        <v>0</v>
      </c>
      <c r="H26" s="4">
        <v>0</v>
      </c>
      <c r="I26" s="34">
        <v>462.91</v>
      </c>
    </row>
    <row r="27" spans="2:9" x14ac:dyDescent="0.35">
      <c r="B27" s="58">
        <v>39630</v>
      </c>
      <c r="C27" s="4">
        <v>250.97</v>
      </c>
      <c r="D27" s="4">
        <v>88.33</v>
      </c>
      <c r="E27" s="4">
        <v>140.72</v>
      </c>
      <c r="F27" s="4">
        <v>0</v>
      </c>
      <c r="G27" s="4">
        <v>0</v>
      </c>
      <c r="H27" s="4">
        <v>0</v>
      </c>
      <c r="I27" s="34">
        <v>480.02</v>
      </c>
    </row>
    <row r="28" spans="2:9" x14ac:dyDescent="0.35">
      <c r="B28" s="58">
        <v>39661</v>
      </c>
      <c r="C28" s="4">
        <v>269.20999999999998</v>
      </c>
      <c r="D28" s="4">
        <v>80.39</v>
      </c>
      <c r="E28" s="4">
        <v>132.15</v>
      </c>
      <c r="F28" s="4">
        <v>0</v>
      </c>
      <c r="G28" s="4">
        <v>0</v>
      </c>
      <c r="H28" s="4">
        <v>0</v>
      </c>
      <c r="I28" s="34">
        <v>481.75</v>
      </c>
    </row>
    <row r="29" spans="2:9" x14ac:dyDescent="0.35">
      <c r="B29" s="58">
        <v>39692</v>
      </c>
      <c r="C29" s="4">
        <v>257.52999999999997</v>
      </c>
      <c r="D29" s="4">
        <v>78.510000000000005</v>
      </c>
      <c r="E29" s="4">
        <v>121.65</v>
      </c>
      <c r="F29" s="4">
        <v>0</v>
      </c>
      <c r="G29" s="4">
        <v>0</v>
      </c>
      <c r="H29" s="4">
        <v>0</v>
      </c>
      <c r="I29" s="34">
        <v>457.69</v>
      </c>
    </row>
    <row r="30" spans="2:9" x14ac:dyDescent="0.35">
      <c r="B30" s="58">
        <v>39722</v>
      </c>
      <c r="C30" s="4">
        <v>268.32</v>
      </c>
      <c r="D30" s="4">
        <v>85.26</v>
      </c>
      <c r="E30" s="4">
        <v>122.15</v>
      </c>
      <c r="F30" s="4">
        <v>0</v>
      </c>
      <c r="G30" s="4">
        <v>0</v>
      </c>
      <c r="H30" s="4">
        <v>0</v>
      </c>
      <c r="I30" s="34">
        <v>475.73</v>
      </c>
    </row>
    <row r="31" spans="2:9" x14ac:dyDescent="0.35">
      <c r="B31" s="58">
        <v>39753</v>
      </c>
      <c r="C31" s="4">
        <v>262.3</v>
      </c>
      <c r="D31" s="4">
        <v>85.44</v>
      </c>
      <c r="E31" s="4">
        <v>113.45</v>
      </c>
      <c r="F31" s="4">
        <v>0</v>
      </c>
      <c r="G31" s="4">
        <v>0</v>
      </c>
      <c r="H31" s="4">
        <v>0</v>
      </c>
      <c r="I31" s="34">
        <v>461.19</v>
      </c>
    </row>
    <row r="32" spans="2:9" x14ac:dyDescent="0.35">
      <c r="B32" s="58">
        <v>39783</v>
      </c>
      <c r="C32" s="4">
        <v>252.08</v>
      </c>
      <c r="D32" s="4">
        <v>106.72</v>
      </c>
      <c r="E32" s="4">
        <v>112.42</v>
      </c>
      <c r="F32" s="4">
        <v>0</v>
      </c>
      <c r="G32" s="4">
        <v>0</v>
      </c>
      <c r="H32" s="4">
        <v>0</v>
      </c>
      <c r="I32" s="34">
        <v>471.22</v>
      </c>
    </row>
    <row r="33" spans="2:9" x14ac:dyDescent="0.35">
      <c r="B33" s="58">
        <v>39814</v>
      </c>
      <c r="C33" s="4">
        <v>231.75</v>
      </c>
      <c r="D33" s="4">
        <v>116.58</v>
      </c>
      <c r="E33" s="4">
        <v>127.48</v>
      </c>
      <c r="F33" s="4">
        <v>0</v>
      </c>
      <c r="G33" s="4">
        <v>0</v>
      </c>
      <c r="H33" s="4">
        <v>0</v>
      </c>
      <c r="I33" s="34">
        <v>475.81</v>
      </c>
    </row>
    <row r="34" spans="2:9" x14ac:dyDescent="0.35">
      <c r="B34" s="58">
        <v>39845</v>
      </c>
      <c r="C34" s="4">
        <v>215.16</v>
      </c>
      <c r="D34" s="4">
        <v>99.77</v>
      </c>
      <c r="E34" s="4">
        <v>113.16</v>
      </c>
      <c r="F34" s="4">
        <v>0</v>
      </c>
      <c r="G34" s="4">
        <v>0</v>
      </c>
      <c r="H34" s="4">
        <v>0</v>
      </c>
      <c r="I34" s="34">
        <v>428.09</v>
      </c>
    </row>
    <row r="35" spans="2:9" x14ac:dyDescent="0.35">
      <c r="B35" s="58">
        <v>39873</v>
      </c>
      <c r="C35" s="4">
        <v>237.11</v>
      </c>
      <c r="D35" s="4">
        <v>106.07</v>
      </c>
      <c r="E35" s="4">
        <v>129.83000000000001</v>
      </c>
      <c r="F35" s="4">
        <v>0</v>
      </c>
      <c r="G35" s="4">
        <v>0</v>
      </c>
      <c r="H35" s="4">
        <v>0</v>
      </c>
      <c r="I35" s="34">
        <v>473.01</v>
      </c>
    </row>
    <row r="36" spans="2:9" x14ac:dyDescent="0.35">
      <c r="B36" s="58">
        <v>39904</v>
      </c>
      <c r="C36" s="4">
        <v>202.51</v>
      </c>
      <c r="D36" s="4">
        <v>112.73</v>
      </c>
      <c r="E36" s="4">
        <v>128.07</v>
      </c>
      <c r="F36" s="4">
        <v>0</v>
      </c>
      <c r="G36" s="4">
        <v>0</v>
      </c>
      <c r="H36" s="4">
        <v>0</v>
      </c>
      <c r="I36" s="34">
        <v>443.31</v>
      </c>
    </row>
    <row r="37" spans="2:9" x14ac:dyDescent="0.35">
      <c r="B37" s="58">
        <v>39934</v>
      </c>
      <c r="C37" s="4">
        <v>212.16</v>
      </c>
      <c r="D37" s="4">
        <v>107.77</v>
      </c>
      <c r="E37" s="4">
        <v>135.56</v>
      </c>
      <c r="F37" s="4">
        <v>0</v>
      </c>
      <c r="G37" s="4">
        <v>0</v>
      </c>
      <c r="H37" s="4">
        <v>0</v>
      </c>
      <c r="I37" s="34">
        <v>455.49</v>
      </c>
    </row>
    <row r="38" spans="2:9" x14ac:dyDescent="0.35">
      <c r="B38" s="58">
        <v>39965</v>
      </c>
      <c r="C38" s="4">
        <v>189.95</v>
      </c>
      <c r="D38" s="4">
        <v>111.41</v>
      </c>
      <c r="E38" s="4">
        <v>139.69</v>
      </c>
      <c r="F38" s="4">
        <v>0</v>
      </c>
      <c r="G38" s="4">
        <v>0</v>
      </c>
      <c r="H38" s="4">
        <v>0</v>
      </c>
      <c r="I38" s="34">
        <v>441.04</v>
      </c>
    </row>
    <row r="39" spans="2:9" x14ac:dyDescent="0.35">
      <c r="B39" s="58">
        <v>39995</v>
      </c>
      <c r="C39" s="4">
        <v>186.69</v>
      </c>
      <c r="D39" s="4">
        <v>107.16</v>
      </c>
      <c r="E39" s="4">
        <v>160.76</v>
      </c>
      <c r="F39" s="4">
        <v>0</v>
      </c>
      <c r="G39" s="4">
        <v>0</v>
      </c>
      <c r="H39" s="4">
        <v>0</v>
      </c>
      <c r="I39" s="34">
        <v>454.6</v>
      </c>
    </row>
    <row r="40" spans="2:9" x14ac:dyDescent="0.35">
      <c r="B40" s="58">
        <v>40026</v>
      </c>
      <c r="C40" s="4">
        <v>138.29</v>
      </c>
      <c r="D40" s="4">
        <v>112.53</v>
      </c>
      <c r="E40" s="4">
        <v>177.62</v>
      </c>
      <c r="F40" s="4">
        <v>0</v>
      </c>
      <c r="G40" s="4">
        <v>0</v>
      </c>
      <c r="H40" s="4">
        <v>0</v>
      </c>
      <c r="I40" s="34">
        <v>428.45</v>
      </c>
    </row>
    <row r="41" spans="2:9" x14ac:dyDescent="0.35">
      <c r="B41" s="58">
        <v>40057</v>
      </c>
      <c r="C41" s="4">
        <v>115.34</v>
      </c>
      <c r="D41" s="4">
        <v>199.32</v>
      </c>
      <c r="E41" s="4">
        <v>113.46</v>
      </c>
      <c r="F41" s="4">
        <v>0</v>
      </c>
      <c r="G41" s="4">
        <v>0</v>
      </c>
      <c r="H41" s="4">
        <v>0</v>
      </c>
      <c r="I41" s="34">
        <v>428.12</v>
      </c>
    </row>
    <row r="42" spans="2:9" x14ac:dyDescent="0.35">
      <c r="B42" s="58">
        <v>40087</v>
      </c>
      <c r="C42" s="4">
        <v>121.36</v>
      </c>
      <c r="D42" s="4">
        <v>102.33</v>
      </c>
      <c r="E42" s="4">
        <v>206.7</v>
      </c>
      <c r="F42" s="4">
        <v>0</v>
      </c>
      <c r="G42" s="4">
        <v>0</v>
      </c>
      <c r="H42" s="4">
        <v>0</v>
      </c>
      <c r="I42" s="34">
        <v>430.39</v>
      </c>
    </row>
    <row r="43" spans="2:9" x14ac:dyDescent="0.35">
      <c r="B43" s="58">
        <v>40118</v>
      </c>
      <c r="C43" s="4">
        <v>140.81</v>
      </c>
      <c r="D43" s="4">
        <v>103.49</v>
      </c>
      <c r="E43" s="4">
        <v>202.99</v>
      </c>
      <c r="F43" s="4">
        <v>0</v>
      </c>
      <c r="G43" s="4">
        <v>0</v>
      </c>
      <c r="H43" s="4">
        <v>0</v>
      </c>
      <c r="I43" s="34">
        <v>447.29</v>
      </c>
    </row>
    <row r="44" spans="2:9" x14ac:dyDescent="0.35">
      <c r="B44" s="58">
        <v>40148</v>
      </c>
      <c r="C44" s="4">
        <v>129.5</v>
      </c>
      <c r="D44" s="4">
        <v>99.48</v>
      </c>
      <c r="E44" s="4">
        <v>196.96</v>
      </c>
      <c r="F44" s="4">
        <v>0</v>
      </c>
      <c r="G44" s="4">
        <v>0</v>
      </c>
      <c r="H44" s="4">
        <v>0</v>
      </c>
      <c r="I44" s="34">
        <v>425.94</v>
      </c>
    </row>
    <row r="45" spans="2:9" x14ac:dyDescent="0.35">
      <c r="B45" s="58">
        <v>40179</v>
      </c>
      <c r="C45" s="4">
        <v>173.48</v>
      </c>
      <c r="D45" s="4">
        <v>110.77</v>
      </c>
      <c r="E45" s="4">
        <v>166.26</v>
      </c>
      <c r="F45" s="4">
        <v>0</v>
      </c>
      <c r="G45" s="4">
        <v>0</v>
      </c>
      <c r="H45" s="4">
        <v>0</v>
      </c>
      <c r="I45" s="34">
        <v>450.51</v>
      </c>
    </row>
    <row r="46" spans="2:9" x14ac:dyDescent="0.35">
      <c r="B46" s="58">
        <v>40210</v>
      </c>
      <c r="C46" s="4">
        <v>145.52000000000001</v>
      </c>
      <c r="D46" s="4">
        <v>97.48</v>
      </c>
      <c r="E46" s="4">
        <v>169.33</v>
      </c>
      <c r="F46" s="4">
        <v>0</v>
      </c>
      <c r="G46" s="4">
        <v>0</v>
      </c>
      <c r="H46" s="4">
        <v>0</v>
      </c>
      <c r="I46" s="34">
        <v>412.33</v>
      </c>
    </row>
    <row r="47" spans="2:9" x14ac:dyDescent="0.35">
      <c r="B47" s="58">
        <v>40238</v>
      </c>
      <c r="C47" s="4">
        <v>183.41</v>
      </c>
      <c r="D47" s="4">
        <v>115.84</v>
      </c>
      <c r="E47" s="4">
        <v>172.84</v>
      </c>
      <c r="F47" s="4">
        <v>0</v>
      </c>
      <c r="G47" s="4">
        <v>0</v>
      </c>
      <c r="H47" s="4">
        <v>0</v>
      </c>
      <c r="I47" s="34">
        <v>472.09</v>
      </c>
    </row>
    <row r="48" spans="2:9" x14ac:dyDescent="0.35">
      <c r="B48" s="58">
        <v>40269</v>
      </c>
      <c r="C48" s="4">
        <v>236.7</v>
      </c>
      <c r="D48" s="4">
        <v>111.02</v>
      </c>
      <c r="E48" s="4">
        <v>159.15</v>
      </c>
      <c r="F48" s="4">
        <v>0</v>
      </c>
      <c r="G48" s="4">
        <v>0</v>
      </c>
      <c r="H48" s="4">
        <v>0</v>
      </c>
      <c r="I48" s="34">
        <v>506.87</v>
      </c>
    </row>
    <row r="49" spans="2:9" x14ac:dyDescent="0.35">
      <c r="B49" s="58">
        <v>40299</v>
      </c>
      <c r="C49" s="4">
        <v>294.25</v>
      </c>
      <c r="D49" s="4">
        <v>133.18</v>
      </c>
      <c r="E49" s="4">
        <v>122.74</v>
      </c>
      <c r="F49" s="4">
        <v>0</v>
      </c>
      <c r="G49" s="4">
        <v>0</v>
      </c>
      <c r="H49" s="4">
        <v>0</v>
      </c>
      <c r="I49" s="34">
        <v>550.16999999999996</v>
      </c>
    </row>
    <row r="50" spans="2:9" x14ac:dyDescent="0.35">
      <c r="B50" s="58">
        <v>40330</v>
      </c>
      <c r="C50" s="4">
        <v>304.83</v>
      </c>
      <c r="D50" s="4">
        <v>132.31</v>
      </c>
      <c r="E50" s="4">
        <v>113.38</v>
      </c>
      <c r="F50" s="4">
        <v>0</v>
      </c>
      <c r="G50" s="4">
        <v>0</v>
      </c>
      <c r="H50" s="4">
        <v>0</v>
      </c>
      <c r="I50" s="34">
        <v>550.51</v>
      </c>
    </row>
    <row r="51" spans="2:9" x14ac:dyDescent="0.35">
      <c r="B51" s="58">
        <v>40360</v>
      </c>
      <c r="C51" s="4">
        <v>325.41000000000003</v>
      </c>
      <c r="D51" s="4">
        <v>122.47</v>
      </c>
      <c r="E51" s="4">
        <v>124.45</v>
      </c>
      <c r="F51" s="4">
        <v>0</v>
      </c>
      <c r="G51" s="4">
        <v>0</v>
      </c>
      <c r="H51" s="4">
        <v>0</v>
      </c>
      <c r="I51" s="34">
        <v>572.34</v>
      </c>
    </row>
    <row r="52" spans="2:9" x14ac:dyDescent="0.35">
      <c r="B52" s="58">
        <v>40391</v>
      </c>
      <c r="C52" s="4">
        <v>317.5</v>
      </c>
      <c r="D52" s="4">
        <v>125.69</v>
      </c>
      <c r="E52" s="4">
        <v>125.35</v>
      </c>
      <c r="F52" s="4">
        <v>0</v>
      </c>
      <c r="G52" s="4">
        <v>0</v>
      </c>
      <c r="H52" s="4">
        <v>0</v>
      </c>
      <c r="I52" s="34">
        <v>568.54</v>
      </c>
    </row>
    <row r="53" spans="2:9" x14ac:dyDescent="0.35">
      <c r="B53" s="58">
        <v>40422</v>
      </c>
      <c r="C53" s="4">
        <v>314.25</v>
      </c>
      <c r="D53" s="4">
        <v>124.7</v>
      </c>
      <c r="E53" s="4">
        <v>132.35</v>
      </c>
      <c r="F53" s="4">
        <v>0</v>
      </c>
      <c r="G53" s="4">
        <v>0</v>
      </c>
      <c r="H53" s="4">
        <v>0</v>
      </c>
      <c r="I53" s="34">
        <v>571.29999999999995</v>
      </c>
    </row>
    <row r="54" spans="2:9" x14ac:dyDescent="0.35">
      <c r="B54" s="58">
        <v>40452</v>
      </c>
      <c r="C54" s="4">
        <v>296.23</v>
      </c>
      <c r="D54" s="4">
        <v>123.74</v>
      </c>
      <c r="E54" s="4">
        <v>164.8</v>
      </c>
      <c r="F54" s="4">
        <v>0</v>
      </c>
      <c r="G54" s="4">
        <v>0</v>
      </c>
      <c r="H54" s="4">
        <v>0</v>
      </c>
      <c r="I54" s="34">
        <v>584.76</v>
      </c>
    </row>
    <row r="55" spans="2:9" x14ac:dyDescent="0.35">
      <c r="B55" s="58">
        <v>40483</v>
      </c>
      <c r="C55" s="4">
        <v>296.72000000000003</v>
      </c>
      <c r="D55" s="4">
        <v>119.61</v>
      </c>
      <c r="E55" s="4">
        <v>163.77000000000001</v>
      </c>
      <c r="F55" s="4">
        <v>0</v>
      </c>
      <c r="G55" s="4">
        <v>0</v>
      </c>
      <c r="H55" s="4">
        <v>0</v>
      </c>
      <c r="I55" s="34">
        <v>580.09</v>
      </c>
    </row>
    <row r="56" spans="2:9" x14ac:dyDescent="0.35">
      <c r="B56" s="58">
        <v>40513</v>
      </c>
      <c r="C56" s="4">
        <v>306.58</v>
      </c>
      <c r="D56" s="4">
        <v>125.35</v>
      </c>
      <c r="E56" s="4">
        <v>155.07</v>
      </c>
      <c r="F56" s="4">
        <v>0</v>
      </c>
      <c r="G56" s="4">
        <v>0</v>
      </c>
      <c r="H56" s="4">
        <v>0</v>
      </c>
      <c r="I56" s="34">
        <v>587</v>
      </c>
    </row>
    <row r="57" spans="2:9" x14ac:dyDescent="0.35">
      <c r="B57" s="58">
        <v>40544</v>
      </c>
      <c r="C57" s="4">
        <v>296.2</v>
      </c>
      <c r="D57" s="17">
        <v>119.15</v>
      </c>
      <c r="E57" s="17">
        <v>187.91</v>
      </c>
      <c r="F57" s="4">
        <v>0</v>
      </c>
      <c r="G57" s="4">
        <v>0</v>
      </c>
      <c r="H57" s="4">
        <v>0</v>
      </c>
      <c r="I57" s="37">
        <v>603.26</v>
      </c>
    </row>
    <row r="58" spans="2:9" x14ac:dyDescent="0.35">
      <c r="B58" s="58">
        <v>40575</v>
      </c>
      <c r="C58" s="4">
        <v>245.51</v>
      </c>
      <c r="D58" s="17">
        <v>104.99</v>
      </c>
      <c r="E58" s="17">
        <v>200.13</v>
      </c>
      <c r="F58" s="4">
        <v>0</v>
      </c>
      <c r="G58" s="4">
        <v>0</v>
      </c>
      <c r="H58" s="4">
        <v>0</v>
      </c>
      <c r="I58" s="37">
        <v>550.63</v>
      </c>
    </row>
    <row r="59" spans="2:9" x14ac:dyDescent="0.35">
      <c r="B59" s="58">
        <v>40603</v>
      </c>
      <c r="C59" s="4">
        <v>259.11</v>
      </c>
      <c r="D59" s="17">
        <v>126.29</v>
      </c>
      <c r="E59" s="17">
        <v>224.85</v>
      </c>
      <c r="F59" s="4">
        <v>0</v>
      </c>
      <c r="G59" s="4">
        <v>0</v>
      </c>
      <c r="H59" s="4">
        <v>0</v>
      </c>
      <c r="I59" s="37">
        <v>610.25</v>
      </c>
    </row>
    <row r="60" spans="2:9" x14ac:dyDescent="0.35">
      <c r="B60" s="58">
        <v>40634</v>
      </c>
      <c r="C60" s="4">
        <v>236.92</v>
      </c>
      <c r="D60" s="17">
        <v>120.35</v>
      </c>
      <c r="E60" s="17">
        <v>224.38</v>
      </c>
      <c r="F60" s="4">
        <v>0</v>
      </c>
      <c r="G60" s="4">
        <v>0</v>
      </c>
      <c r="H60" s="4">
        <v>0</v>
      </c>
      <c r="I60" s="37">
        <v>581.66</v>
      </c>
    </row>
    <row r="61" spans="2:9" x14ac:dyDescent="0.35">
      <c r="B61" s="58">
        <v>40664</v>
      </c>
      <c r="C61" s="4">
        <v>264.29000000000002</v>
      </c>
      <c r="D61" s="17">
        <v>123.77</v>
      </c>
      <c r="E61" s="17">
        <v>221.79</v>
      </c>
      <c r="F61" s="4">
        <v>0</v>
      </c>
      <c r="G61" s="4">
        <v>0</v>
      </c>
      <c r="H61" s="4">
        <v>0</v>
      </c>
      <c r="I61" s="37">
        <v>609.85</v>
      </c>
    </row>
    <row r="62" spans="2:9" x14ac:dyDescent="0.35">
      <c r="B62" s="58">
        <v>40695</v>
      </c>
      <c r="C62" s="4">
        <v>268.23</v>
      </c>
      <c r="D62" s="17">
        <v>117.72</v>
      </c>
      <c r="E62" s="17">
        <v>200.34</v>
      </c>
      <c r="F62" s="4">
        <v>0</v>
      </c>
      <c r="G62" s="4">
        <v>0</v>
      </c>
      <c r="H62" s="4">
        <v>0</v>
      </c>
      <c r="I62" s="37">
        <v>586.29</v>
      </c>
    </row>
    <row r="63" spans="2:9" x14ac:dyDescent="0.35">
      <c r="B63" s="58">
        <v>40725</v>
      </c>
      <c r="C63" s="4">
        <v>262.63</v>
      </c>
      <c r="D63" s="17">
        <v>122.41</v>
      </c>
      <c r="E63" s="17">
        <v>225.77</v>
      </c>
      <c r="F63" s="4">
        <v>0</v>
      </c>
      <c r="G63" s="4">
        <v>0</v>
      </c>
      <c r="H63" s="4">
        <v>0</v>
      </c>
      <c r="I63" s="37">
        <v>610.80999999999995</v>
      </c>
    </row>
    <row r="64" spans="2:9" x14ac:dyDescent="0.35">
      <c r="B64" s="58">
        <v>40756</v>
      </c>
      <c r="C64" s="4">
        <v>253.87</v>
      </c>
      <c r="D64" s="17">
        <v>125.23</v>
      </c>
      <c r="E64" s="17">
        <v>234.48</v>
      </c>
      <c r="F64" s="4">
        <v>0</v>
      </c>
      <c r="G64" s="4">
        <v>0</v>
      </c>
      <c r="H64" s="4">
        <v>0</v>
      </c>
      <c r="I64" s="37">
        <v>613.57000000000005</v>
      </c>
    </row>
    <row r="65" spans="2:9" x14ac:dyDescent="0.35">
      <c r="B65" s="58">
        <v>40787</v>
      </c>
      <c r="C65" s="4">
        <v>249.07</v>
      </c>
      <c r="D65" s="17">
        <v>121.21</v>
      </c>
      <c r="E65" s="17">
        <v>224.28</v>
      </c>
      <c r="F65" s="4">
        <v>0</v>
      </c>
      <c r="G65" s="4">
        <v>0</v>
      </c>
      <c r="H65" s="4">
        <v>0</v>
      </c>
      <c r="I65" s="37">
        <v>594.57000000000005</v>
      </c>
    </row>
    <row r="66" spans="2:9" x14ac:dyDescent="0.35">
      <c r="B66" s="58">
        <v>40817</v>
      </c>
      <c r="C66" s="4">
        <v>253.24</v>
      </c>
      <c r="D66" s="17">
        <v>122.15</v>
      </c>
      <c r="E66" s="17">
        <v>225.32</v>
      </c>
      <c r="F66" s="4">
        <v>0</v>
      </c>
      <c r="G66" s="4">
        <v>0</v>
      </c>
      <c r="H66" s="4">
        <v>0</v>
      </c>
      <c r="I66" s="37">
        <v>600.71</v>
      </c>
    </row>
    <row r="67" spans="2:9" x14ac:dyDescent="0.35">
      <c r="B67" s="58">
        <v>40848</v>
      </c>
      <c r="C67" s="4">
        <v>263.04000000000002</v>
      </c>
      <c r="D67" s="17">
        <v>115.04</v>
      </c>
      <c r="E67" s="17">
        <v>255.26</v>
      </c>
      <c r="F67" s="4">
        <v>0</v>
      </c>
      <c r="G67" s="4">
        <v>0</v>
      </c>
      <c r="H67" s="4">
        <v>0</v>
      </c>
      <c r="I67" s="37">
        <v>633.34</v>
      </c>
    </row>
    <row r="68" spans="2:9" x14ac:dyDescent="0.35">
      <c r="B68" s="58">
        <v>40878</v>
      </c>
      <c r="C68" s="4">
        <v>331.37</v>
      </c>
      <c r="D68" s="17">
        <v>125.38</v>
      </c>
      <c r="E68" s="17">
        <v>175.43</v>
      </c>
      <c r="F68" s="4">
        <v>0</v>
      </c>
      <c r="G68" s="4">
        <v>0</v>
      </c>
      <c r="H68" s="4">
        <v>0</v>
      </c>
      <c r="I68" s="37">
        <v>632.17999999999995</v>
      </c>
    </row>
    <row r="69" spans="2:9" x14ac:dyDescent="0.35">
      <c r="B69" s="58">
        <v>40909</v>
      </c>
      <c r="C69" s="4">
        <v>329.53</v>
      </c>
      <c r="D69" s="17">
        <v>128.54</v>
      </c>
      <c r="E69" s="17">
        <v>168.89</v>
      </c>
      <c r="F69" s="4">
        <v>0</v>
      </c>
      <c r="G69" s="4">
        <v>0</v>
      </c>
      <c r="H69" s="4">
        <v>0</v>
      </c>
      <c r="I69" s="37">
        <v>626.95000000000005</v>
      </c>
    </row>
    <row r="70" spans="2:9" x14ac:dyDescent="0.35">
      <c r="B70" s="58">
        <v>40940</v>
      </c>
      <c r="C70" s="4">
        <v>331.64</v>
      </c>
      <c r="D70" s="17">
        <v>125.38</v>
      </c>
      <c r="E70" s="17">
        <v>159.01</v>
      </c>
      <c r="F70" s="4">
        <v>0</v>
      </c>
      <c r="G70" s="4">
        <v>0</v>
      </c>
      <c r="H70" s="4">
        <v>0</v>
      </c>
      <c r="I70" s="37">
        <v>616.03</v>
      </c>
    </row>
    <row r="71" spans="2:9" x14ac:dyDescent="0.35">
      <c r="B71" s="58">
        <v>40969</v>
      </c>
      <c r="C71" s="4">
        <v>292.5</v>
      </c>
      <c r="D71" s="17">
        <v>133.99</v>
      </c>
      <c r="E71" s="17">
        <v>193.65</v>
      </c>
      <c r="F71" s="4">
        <v>0</v>
      </c>
      <c r="G71" s="4">
        <v>0</v>
      </c>
      <c r="H71" s="4">
        <v>0</v>
      </c>
      <c r="I71" s="37">
        <v>620.13</v>
      </c>
    </row>
    <row r="72" spans="2:9" x14ac:dyDescent="0.35">
      <c r="B72" s="58">
        <v>41000</v>
      </c>
      <c r="C72" s="4">
        <v>272.88</v>
      </c>
      <c r="D72" s="17">
        <v>124.26</v>
      </c>
      <c r="E72" s="17">
        <v>175.14</v>
      </c>
      <c r="F72" s="4">
        <v>0</v>
      </c>
      <c r="G72" s="4">
        <v>0</v>
      </c>
      <c r="H72" s="4">
        <v>0</v>
      </c>
      <c r="I72" s="37">
        <v>572.28</v>
      </c>
    </row>
    <row r="73" spans="2:9" x14ac:dyDescent="0.35">
      <c r="B73" s="58">
        <v>41030</v>
      </c>
      <c r="C73" s="4">
        <v>323.37</v>
      </c>
      <c r="D73" s="17">
        <v>131.96</v>
      </c>
      <c r="E73" s="17">
        <v>159.32</v>
      </c>
      <c r="F73" s="4">
        <v>0</v>
      </c>
      <c r="G73" s="4">
        <v>0</v>
      </c>
      <c r="H73" s="4">
        <v>0</v>
      </c>
      <c r="I73" s="37">
        <v>614.65</v>
      </c>
    </row>
    <row r="74" spans="2:9" x14ac:dyDescent="0.35">
      <c r="B74" s="58">
        <v>41061</v>
      </c>
      <c r="C74" s="4">
        <v>341.75</v>
      </c>
      <c r="D74" s="17">
        <v>128.84</v>
      </c>
      <c r="E74" s="17">
        <v>147.30000000000001</v>
      </c>
      <c r="F74" s="4">
        <v>0</v>
      </c>
      <c r="G74" s="4">
        <v>0</v>
      </c>
      <c r="H74" s="4">
        <v>0</v>
      </c>
      <c r="I74" s="37">
        <v>617.89</v>
      </c>
    </row>
    <row r="75" spans="2:9" x14ac:dyDescent="0.35">
      <c r="B75" s="58">
        <v>41091</v>
      </c>
      <c r="C75" s="4">
        <v>358.34</v>
      </c>
      <c r="D75" s="17">
        <v>119.2</v>
      </c>
      <c r="E75" s="17">
        <v>168.06</v>
      </c>
      <c r="F75" s="4">
        <v>0</v>
      </c>
      <c r="G75" s="4">
        <v>0</v>
      </c>
      <c r="H75" s="4">
        <v>0</v>
      </c>
      <c r="I75" s="37">
        <v>645.6</v>
      </c>
    </row>
    <row r="76" spans="2:9" x14ac:dyDescent="0.35">
      <c r="B76" s="58">
        <v>41122</v>
      </c>
      <c r="C76" s="4">
        <v>347.5</v>
      </c>
      <c r="D76" s="17">
        <v>121.97</v>
      </c>
      <c r="E76" s="17">
        <v>175.59</v>
      </c>
      <c r="F76" s="4">
        <v>0</v>
      </c>
      <c r="G76" s="4">
        <v>0</v>
      </c>
      <c r="H76" s="4">
        <v>0</v>
      </c>
      <c r="I76" s="37">
        <v>645.05999999999995</v>
      </c>
    </row>
    <row r="77" spans="2:9" x14ac:dyDescent="0.35">
      <c r="B77" s="58">
        <v>41153</v>
      </c>
      <c r="C77" s="4">
        <v>333.73</v>
      </c>
      <c r="D77" s="17">
        <v>128.27000000000001</v>
      </c>
      <c r="E77" s="17">
        <v>165.68</v>
      </c>
      <c r="F77" s="4">
        <v>0</v>
      </c>
      <c r="G77" s="4">
        <v>0</v>
      </c>
      <c r="H77" s="4">
        <v>0</v>
      </c>
      <c r="I77" s="37">
        <v>627.67999999999995</v>
      </c>
    </row>
    <row r="78" spans="2:9" x14ac:dyDescent="0.35">
      <c r="B78" s="58">
        <v>41183</v>
      </c>
      <c r="C78" s="4">
        <v>359.87</v>
      </c>
      <c r="D78" s="17">
        <v>128.86000000000001</v>
      </c>
      <c r="E78" s="17">
        <v>165.67</v>
      </c>
      <c r="F78" s="4">
        <v>0</v>
      </c>
      <c r="G78" s="4">
        <v>0</v>
      </c>
      <c r="H78" s="4">
        <v>0</v>
      </c>
      <c r="I78" s="37">
        <v>654.4</v>
      </c>
    </row>
    <row r="79" spans="2:9" x14ac:dyDescent="0.35">
      <c r="B79" s="58">
        <v>41214</v>
      </c>
      <c r="C79" s="4">
        <v>372.05</v>
      </c>
      <c r="D79" s="17">
        <v>120.86</v>
      </c>
      <c r="E79" s="17">
        <v>159.4</v>
      </c>
      <c r="F79" s="4">
        <v>0</v>
      </c>
      <c r="G79" s="4">
        <v>0</v>
      </c>
      <c r="H79" s="4">
        <v>0</v>
      </c>
      <c r="I79" s="37">
        <v>652.30999999999995</v>
      </c>
    </row>
    <row r="80" spans="2:9" x14ac:dyDescent="0.35">
      <c r="B80" s="58">
        <v>41244</v>
      </c>
      <c r="C80" s="4">
        <v>368.64</v>
      </c>
      <c r="D80" s="17">
        <v>130.03</v>
      </c>
      <c r="E80" s="17">
        <v>148.02000000000001</v>
      </c>
      <c r="F80" s="4">
        <v>0</v>
      </c>
      <c r="G80" s="4">
        <v>0</v>
      </c>
      <c r="H80" s="4">
        <v>0</v>
      </c>
      <c r="I80" s="37">
        <v>646.67999999999995</v>
      </c>
    </row>
    <row r="81" spans="2:9" x14ac:dyDescent="0.35">
      <c r="B81" s="58">
        <v>41275</v>
      </c>
      <c r="C81" s="4">
        <v>377.24</v>
      </c>
      <c r="D81" s="17">
        <v>129.44999999999999</v>
      </c>
      <c r="E81" s="17">
        <v>168.67</v>
      </c>
      <c r="F81" s="4">
        <v>0</v>
      </c>
      <c r="G81" s="4">
        <v>0</v>
      </c>
      <c r="H81" s="4">
        <v>0</v>
      </c>
      <c r="I81" s="37">
        <v>675.36</v>
      </c>
    </row>
    <row r="82" spans="2:9" x14ac:dyDescent="0.35">
      <c r="B82" s="58">
        <v>41306</v>
      </c>
      <c r="C82" s="4">
        <v>332.99</v>
      </c>
      <c r="D82" s="17">
        <v>113.11</v>
      </c>
      <c r="E82" s="17">
        <v>160.26</v>
      </c>
      <c r="F82" s="4">
        <v>0</v>
      </c>
      <c r="G82" s="4">
        <v>0</v>
      </c>
      <c r="H82" s="4">
        <v>0</v>
      </c>
      <c r="I82" s="37">
        <v>606.36</v>
      </c>
    </row>
    <row r="83" spans="2:9" x14ac:dyDescent="0.35">
      <c r="B83" s="58">
        <v>41334</v>
      </c>
      <c r="C83" s="4">
        <v>347.6</v>
      </c>
      <c r="D83" s="17">
        <v>134.93</v>
      </c>
      <c r="E83" s="17">
        <v>162.56</v>
      </c>
      <c r="F83" s="4">
        <v>0</v>
      </c>
      <c r="G83" s="4">
        <v>0</v>
      </c>
      <c r="H83" s="4">
        <v>0</v>
      </c>
      <c r="I83" s="37">
        <v>645.08000000000004</v>
      </c>
    </row>
    <row r="84" spans="2:9" x14ac:dyDescent="0.35">
      <c r="B84" s="58">
        <v>41365</v>
      </c>
      <c r="C84" s="4">
        <v>345.05</v>
      </c>
      <c r="D84" s="17">
        <v>151.9</v>
      </c>
      <c r="E84" s="17">
        <v>139.85</v>
      </c>
      <c r="F84" s="4">
        <v>0</v>
      </c>
      <c r="G84" s="4">
        <v>0</v>
      </c>
      <c r="H84" s="4">
        <v>0</v>
      </c>
      <c r="I84" s="37">
        <v>636.79999999999995</v>
      </c>
    </row>
    <row r="85" spans="2:9" x14ac:dyDescent="0.35">
      <c r="B85" s="58">
        <v>41395</v>
      </c>
      <c r="C85" s="4">
        <v>376.96</v>
      </c>
      <c r="D85" s="17">
        <v>158.56</v>
      </c>
      <c r="E85" s="17">
        <v>132.96</v>
      </c>
      <c r="F85" s="4">
        <v>0</v>
      </c>
      <c r="G85" s="4">
        <v>0</v>
      </c>
      <c r="H85" s="4">
        <v>0</v>
      </c>
      <c r="I85" s="37">
        <v>668.48</v>
      </c>
    </row>
    <row r="86" spans="2:9" x14ac:dyDescent="0.35">
      <c r="B86" s="58">
        <v>41426</v>
      </c>
      <c r="C86" s="4">
        <v>378.41</v>
      </c>
      <c r="D86" s="17">
        <v>162.04</v>
      </c>
      <c r="E86" s="17">
        <v>130.79</v>
      </c>
      <c r="F86" s="4">
        <v>0</v>
      </c>
      <c r="G86" s="4">
        <v>0</v>
      </c>
      <c r="H86" s="4">
        <v>0</v>
      </c>
      <c r="I86" s="37">
        <v>671.24</v>
      </c>
    </row>
    <row r="87" spans="2:9" x14ac:dyDescent="0.35">
      <c r="B87" s="58">
        <v>41456</v>
      </c>
      <c r="C87" s="4">
        <v>385.86</v>
      </c>
      <c r="D87" s="17">
        <v>157.34</v>
      </c>
      <c r="E87" s="17">
        <v>157.34</v>
      </c>
      <c r="F87" s="4">
        <v>0</v>
      </c>
      <c r="G87" s="4">
        <v>0</v>
      </c>
      <c r="H87" s="4">
        <v>0</v>
      </c>
      <c r="I87" s="37">
        <v>700.96</v>
      </c>
    </row>
    <row r="88" spans="2:9" x14ac:dyDescent="0.35">
      <c r="B88" s="58">
        <v>41487</v>
      </c>
      <c r="C88" s="4">
        <v>376.91</v>
      </c>
      <c r="D88" s="17">
        <v>157.52000000000001</v>
      </c>
      <c r="E88" s="17">
        <v>181.74</v>
      </c>
      <c r="F88" s="4">
        <v>0</v>
      </c>
      <c r="G88" s="4">
        <v>0</v>
      </c>
      <c r="H88" s="4">
        <v>0</v>
      </c>
      <c r="I88" s="37">
        <v>716.17</v>
      </c>
    </row>
    <row r="89" spans="2:9" x14ac:dyDescent="0.35">
      <c r="B89" s="58">
        <v>41518</v>
      </c>
      <c r="C89" s="4">
        <v>263.41000000000003</v>
      </c>
      <c r="D89" s="17">
        <v>152.74</v>
      </c>
      <c r="E89" s="17">
        <v>177.94</v>
      </c>
      <c r="F89" s="4">
        <v>0</v>
      </c>
      <c r="G89" s="4">
        <v>0</v>
      </c>
      <c r="H89" s="4">
        <v>0</v>
      </c>
      <c r="I89" s="37">
        <v>707.63</v>
      </c>
    </row>
    <row r="90" spans="2:9" x14ac:dyDescent="0.35">
      <c r="B90" s="58">
        <v>41548</v>
      </c>
      <c r="C90" s="4">
        <v>384.52</v>
      </c>
      <c r="D90" s="17">
        <v>151.05000000000001</v>
      </c>
      <c r="E90" s="17">
        <v>214.97</v>
      </c>
      <c r="F90" s="4">
        <v>0</v>
      </c>
      <c r="G90" s="4">
        <v>0</v>
      </c>
      <c r="H90" s="4">
        <v>0</v>
      </c>
      <c r="I90" s="37">
        <v>750.54</v>
      </c>
    </row>
    <row r="91" spans="2:9" x14ac:dyDescent="0.35">
      <c r="B91" s="58">
        <v>41579</v>
      </c>
      <c r="C91" s="4">
        <v>357.67</v>
      </c>
      <c r="D91" s="17">
        <v>151</v>
      </c>
      <c r="E91" s="17">
        <v>224.4</v>
      </c>
      <c r="F91" s="4">
        <v>0</v>
      </c>
      <c r="G91" s="4">
        <v>0</v>
      </c>
      <c r="H91" s="4">
        <v>0</v>
      </c>
      <c r="I91" s="37">
        <v>733.07</v>
      </c>
    </row>
    <row r="92" spans="2:9" x14ac:dyDescent="0.35">
      <c r="B92" s="58">
        <v>41609</v>
      </c>
      <c r="C92" s="4">
        <v>346.51</v>
      </c>
      <c r="D92" s="17">
        <v>160.87</v>
      </c>
      <c r="E92" s="17">
        <v>197.82</v>
      </c>
      <c r="F92" s="4">
        <v>0</v>
      </c>
      <c r="G92" s="4">
        <v>0</v>
      </c>
      <c r="H92" s="4">
        <v>0</v>
      </c>
      <c r="I92" s="37">
        <v>705.2</v>
      </c>
    </row>
    <row r="93" spans="2:9" x14ac:dyDescent="0.35">
      <c r="B93" s="58">
        <v>41640</v>
      </c>
      <c r="C93" s="4">
        <v>339.2</v>
      </c>
      <c r="D93" s="17">
        <v>178.92</v>
      </c>
      <c r="E93" s="17">
        <v>228.8</v>
      </c>
      <c r="F93" s="4">
        <v>0</v>
      </c>
      <c r="G93" s="4">
        <v>0</v>
      </c>
      <c r="H93" s="4">
        <v>0</v>
      </c>
      <c r="I93" s="37">
        <v>746.92</v>
      </c>
    </row>
    <row r="94" spans="2:9" x14ac:dyDescent="0.35">
      <c r="B94" s="58">
        <v>41671</v>
      </c>
      <c r="C94" s="4">
        <v>269.93</v>
      </c>
      <c r="D94" s="17">
        <v>145.47999999999999</v>
      </c>
      <c r="E94" s="17">
        <v>258.38</v>
      </c>
      <c r="F94" s="4">
        <v>0</v>
      </c>
      <c r="G94" s="4">
        <v>0</v>
      </c>
      <c r="H94" s="4">
        <v>0</v>
      </c>
      <c r="I94" s="37">
        <v>673.79</v>
      </c>
    </row>
    <row r="95" spans="2:9" x14ac:dyDescent="0.35">
      <c r="B95" s="58">
        <v>41699</v>
      </c>
      <c r="C95" s="4">
        <v>286.74</v>
      </c>
      <c r="D95" s="17">
        <v>170.77</v>
      </c>
      <c r="E95" s="17">
        <v>280.33999999999997</v>
      </c>
      <c r="F95" s="4">
        <v>0</v>
      </c>
      <c r="G95" s="4">
        <v>0</v>
      </c>
      <c r="H95" s="4">
        <v>0</v>
      </c>
      <c r="I95" s="37">
        <v>737.85</v>
      </c>
    </row>
    <row r="96" spans="2:9" x14ac:dyDescent="0.35">
      <c r="B96" s="58">
        <v>41730</v>
      </c>
      <c r="C96" s="4">
        <v>307.52999999999997</v>
      </c>
      <c r="D96" s="17">
        <v>169.88</v>
      </c>
      <c r="E96" s="17">
        <v>239.78</v>
      </c>
      <c r="F96" s="4">
        <v>0</v>
      </c>
      <c r="G96" s="4">
        <v>0</v>
      </c>
      <c r="H96" s="4">
        <v>0</v>
      </c>
      <c r="I96" s="37">
        <v>717.19</v>
      </c>
    </row>
    <row r="97" spans="2:9" x14ac:dyDescent="0.35">
      <c r="B97" s="58">
        <v>41760</v>
      </c>
      <c r="C97" s="4">
        <v>250.18</v>
      </c>
      <c r="D97" s="17">
        <v>190.75</v>
      </c>
      <c r="E97" s="17">
        <v>295.89</v>
      </c>
      <c r="F97" s="4">
        <v>0</v>
      </c>
      <c r="G97" s="4">
        <v>0</v>
      </c>
      <c r="H97" s="4">
        <v>0</v>
      </c>
      <c r="I97" s="37">
        <v>736.82</v>
      </c>
    </row>
    <row r="98" spans="2:9" x14ac:dyDescent="0.35">
      <c r="B98" s="58">
        <v>41791</v>
      </c>
      <c r="C98" s="4">
        <v>263.41000000000003</v>
      </c>
      <c r="D98" s="17">
        <v>220.91</v>
      </c>
      <c r="E98" s="17">
        <v>245.8</v>
      </c>
      <c r="F98" s="4">
        <v>0</v>
      </c>
      <c r="G98" s="4">
        <v>0</v>
      </c>
      <c r="H98" s="4">
        <v>0</v>
      </c>
      <c r="I98" s="37">
        <v>730.12</v>
      </c>
    </row>
    <row r="99" spans="2:9" x14ac:dyDescent="0.35">
      <c r="B99" s="58">
        <v>41821</v>
      </c>
      <c r="C99" s="4">
        <v>253.87</v>
      </c>
      <c r="D99" s="17">
        <v>257.70999999999998</v>
      </c>
      <c r="E99" s="17">
        <v>251.5</v>
      </c>
      <c r="F99" s="4">
        <v>0</v>
      </c>
      <c r="G99" s="4">
        <v>0</v>
      </c>
      <c r="H99" s="4">
        <v>0</v>
      </c>
      <c r="I99" s="37">
        <v>763.08</v>
      </c>
    </row>
    <row r="100" spans="2:9" x14ac:dyDescent="0.35">
      <c r="B100" s="58">
        <v>41852</v>
      </c>
      <c r="C100" s="4">
        <v>293.87</v>
      </c>
      <c r="D100" s="17">
        <v>246.67</v>
      </c>
      <c r="E100" s="17">
        <v>224.2</v>
      </c>
      <c r="F100" s="4">
        <v>0</v>
      </c>
      <c r="G100" s="4">
        <v>0</v>
      </c>
      <c r="H100" s="4">
        <v>0</v>
      </c>
      <c r="I100" s="37">
        <v>764.74</v>
      </c>
    </row>
    <row r="101" spans="2:9" x14ac:dyDescent="0.35">
      <c r="B101" s="58">
        <v>41883</v>
      </c>
      <c r="C101" s="4">
        <v>277.62</v>
      </c>
      <c r="D101" s="17">
        <v>293.26</v>
      </c>
      <c r="E101" s="17">
        <v>163.91</v>
      </c>
      <c r="F101" s="4">
        <v>0</v>
      </c>
      <c r="G101" s="4">
        <v>0</v>
      </c>
      <c r="H101" s="4">
        <v>0</v>
      </c>
      <c r="I101" s="37">
        <v>734.79</v>
      </c>
    </row>
    <row r="102" spans="2:9" x14ac:dyDescent="0.35">
      <c r="B102" s="58">
        <v>41913</v>
      </c>
      <c r="C102" s="4">
        <v>279.02</v>
      </c>
      <c r="D102" s="17">
        <v>339.4</v>
      </c>
      <c r="E102" s="17">
        <v>156.66</v>
      </c>
      <c r="F102" s="4">
        <v>0</v>
      </c>
      <c r="G102" s="4">
        <v>0</v>
      </c>
      <c r="H102" s="4">
        <v>0</v>
      </c>
      <c r="I102" s="37">
        <v>775.08</v>
      </c>
    </row>
    <row r="103" spans="2:9" x14ac:dyDescent="0.35">
      <c r="B103" s="58">
        <v>41944</v>
      </c>
      <c r="C103" s="4">
        <v>307.25</v>
      </c>
      <c r="D103" s="17">
        <v>322.17</v>
      </c>
      <c r="E103" s="17">
        <v>121.53</v>
      </c>
      <c r="F103" s="4">
        <v>0</v>
      </c>
      <c r="G103" s="4">
        <v>0</v>
      </c>
      <c r="H103" s="4">
        <v>0</v>
      </c>
      <c r="I103" s="37">
        <v>750.95</v>
      </c>
    </row>
    <row r="104" spans="2:9" x14ac:dyDescent="0.35">
      <c r="B104" s="58">
        <v>41974</v>
      </c>
      <c r="C104" s="4">
        <v>282.25</v>
      </c>
      <c r="D104" s="17">
        <v>381.56</v>
      </c>
      <c r="E104" s="17">
        <v>93.78</v>
      </c>
      <c r="F104" s="4">
        <v>0</v>
      </c>
      <c r="G104" s="4">
        <v>0</v>
      </c>
      <c r="H104" s="4">
        <v>0</v>
      </c>
      <c r="I104" s="37">
        <v>757.59</v>
      </c>
    </row>
    <row r="105" spans="2:9" x14ac:dyDescent="0.35">
      <c r="B105" s="58">
        <v>42005</v>
      </c>
      <c r="C105" s="4">
        <v>278.24</v>
      </c>
      <c r="D105" s="17">
        <v>388.4</v>
      </c>
      <c r="E105" s="17">
        <v>109.19</v>
      </c>
      <c r="F105" s="4">
        <v>0</v>
      </c>
      <c r="G105" s="4">
        <v>0</v>
      </c>
      <c r="H105" s="4">
        <v>0</v>
      </c>
      <c r="I105" s="37">
        <v>775.83</v>
      </c>
    </row>
    <row r="106" spans="2:9" x14ac:dyDescent="0.35">
      <c r="B106" s="58">
        <v>42036</v>
      </c>
      <c r="C106" s="4">
        <v>229.5</v>
      </c>
      <c r="D106" s="17">
        <v>352.12</v>
      </c>
      <c r="E106" s="17">
        <v>121.11</v>
      </c>
      <c r="F106" s="4">
        <v>0</v>
      </c>
      <c r="G106" s="4">
        <v>0</v>
      </c>
      <c r="H106" s="4">
        <v>0</v>
      </c>
      <c r="I106" s="37">
        <v>702.73</v>
      </c>
    </row>
    <row r="107" spans="2:9" x14ac:dyDescent="0.35">
      <c r="B107" s="58">
        <v>42064</v>
      </c>
      <c r="C107" s="4">
        <v>246.01</v>
      </c>
      <c r="D107" s="17">
        <v>376.67</v>
      </c>
      <c r="E107" s="17">
        <v>134.19</v>
      </c>
      <c r="F107" s="4">
        <v>0</v>
      </c>
      <c r="G107" s="4">
        <v>0</v>
      </c>
      <c r="H107" s="4">
        <v>0</v>
      </c>
      <c r="I107" s="37">
        <v>756.87</v>
      </c>
    </row>
    <row r="108" spans="2:9" x14ac:dyDescent="0.35">
      <c r="B108" s="58">
        <v>42095</v>
      </c>
      <c r="C108" s="4">
        <v>264.24</v>
      </c>
      <c r="D108" s="17">
        <v>359.47</v>
      </c>
      <c r="E108" s="17">
        <v>120.77</v>
      </c>
      <c r="F108" s="4">
        <v>0</v>
      </c>
      <c r="G108" s="4">
        <v>0</v>
      </c>
      <c r="H108" s="4">
        <v>0</v>
      </c>
      <c r="I108" s="37">
        <v>744.48</v>
      </c>
    </row>
    <row r="109" spans="2:9" x14ac:dyDescent="0.35">
      <c r="B109" s="58">
        <v>42125</v>
      </c>
      <c r="C109" s="4">
        <v>301.02999999999997</v>
      </c>
      <c r="D109" s="17">
        <v>379.97</v>
      </c>
      <c r="E109" s="17">
        <v>103.09</v>
      </c>
      <c r="F109" s="4">
        <v>0</v>
      </c>
      <c r="G109" s="4">
        <v>0</v>
      </c>
      <c r="H109" s="4">
        <v>0</v>
      </c>
      <c r="I109" s="37">
        <v>784.09</v>
      </c>
    </row>
    <row r="110" spans="2:9" x14ac:dyDescent="0.35">
      <c r="B110" s="58">
        <v>42156</v>
      </c>
      <c r="C110" s="4">
        <v>297.27999999999997</v>
      </c>
      <c r="D110" s="17">
        <v>362.3</v>
      </c>
      <c r="E110" s="17">
        <v>109.11</v>
      </c>
      <c r="F110" s="4">
        <v>0</v>
      </c>
      <c r="G110" s="4">
        <v>0</v>
      </c>
      <c r="H110" s="4">
        <v>0</v>
      </c>
      <c r="I110" s="37">
        <v>768.69</v>
      </c>
    </row>
    <row r="111" spans="2:9" x14ac:dyDescent="0.35">
      <c r="B111" s="58">
        <v>42186</v>
      </c>
      <c r="C111" s="4">
        <v>305.24</v>
      </c>
      <c r="D111" s="17">
        <v>353.06</v>
      </c>
      <c r="E111" s="17">
        <v>142.9</v>
      </c>
      <c r="F111" s="4">
        <v>0</v>
      </c>
      <c r="G111" s="4">
        <v>0</v>
      </c>
      <c r="H111" s="4">
        <v>0</v>
      </c>
      <c r="I111" s="37">
        <v>801.2</v>
      </c>
    </row>
    <row r="112" spans="2:9" x14ac:dyDescent="0.35">
      <c r="B112" s="58">
        <v>42217</v>
      </c>
      <c r="C112" s="4">
        <v>318.62</v>
      </c>
      <c r="D112" s="17">
        <v>377.56</v>
      </c>
      <c r="E112" s="17">
        <v>111.57</v>
      </c>
      <c r="F112" s="4">
        <v>0</v>
      </c>
      <c r="G112" s="4">
        <v>0</v>
      </c>
      <c r="H112" s="4">
        <v>0</v>
      </c>
      <c r="I112" s="37">
        <v>807.75</v>
      </c>
    </row>
    <row r="113" spans="2:9" x14ac:dyDescent="0.35">
      <c r="B113" s="58">
        <v>42248</v>
      </c>
      <c r="C113" s="4">
        <v>306.33999999999997</v>
      </c>
      <c r="D113" s="17">
        <v>388.99</v>
      </c>
      <c r="E113" s="17">
        <v>99</v>
      </c>
      <c r="F113" s="4">
        <v>0</v>
      </c>
      <c r="G113" s="4">
        <v>0</v>
      </c>
      <c r="H113" s="4">
        <v>0</v>
      </c>
      <c r="I113" s="37">
        <v>794.33</v>
      </c>
    </row>
    <row r="114" spans="2:9" x14ac:dyDescent="0.35">
      <c r="B114" s="58">
        <v>42278</v>
      </c>
      <c r="C114" s="4">
        <v>310</v>
      </c>
      <c r="D114" s="17">
        <v>402.15</v>
      </c>
      <c r="E114" s="17">
        <v>99.67</v>
      </c>
      <c r="F114" s="4">
        <v>0</v>
      </c>
      <c r="G114" s="4">
        <v>0</v>
      </c>
      <c r="H114" s="4">
        <v>0</v>
      </c>
      <c r="I114" s="37">
        <v>811.82</v>
      </c>
    </row>
    <row r="115" spans="2:9" x14ac:dyDescent="0.35">
      <c r="B115" s="58">
        <v>42309</v>
      </c>
      <c r="C115" s="4">
        <v>300.19</v>
      </c>
      <c r="D115" s="17">
        <v>392.55</v>
      </c>
      <c r="E115" s="17">
        <v>88.88</v>
      </c>
      <c r="F115" s="4">
        <v>0</v>
      </c>
      <c r="G115" s="4">
        <v>0</v>
      </c>
      <c r="H115" s="4">
        <v>0</v>
      </c>
      <c r="I115" s="37">
        <v>781.62</v>
      </c>
    </row>
    <row r="116" spans="2:9" x14ac:dyDescent="0.35">
      <c r="B116" s="58">
        <v>42339</v>
      </c>
      <c r="C116" s="4">
        <v>306.66000000000003</v>
      </c>
      <c r="D116" s="17">
        <v>387.45</v>
      </c>
      <c r="E116" s="17">
        <v>92.11</v>
      </c>
      <c r="F116" s="4">
        <v>0</v>
      </c>
      <c r="G116" s="4">
        <v>0</v>
      </c>
      <c r="H116" s="4">
        <v>0</v>
      </c>
      <c r="I116" s="37">
        <v>786.22</v>
      </c>
    </row>
    <row r="117" spans="2:9" x14ac:dyDescent="0.35">
      <c r="B117" s="58">
        <v>42370</v>
      </c>
      <c r="C117" s="4">
        <v>322.49</v>
      </c>
      <c r="D117" s="17">
        <v>392</v>
      </c>
      <c r="E117" s="17">
        <v>93.03</v>
      </c>
      <c r="F117" s="17">
        <v>5.01</v>
      </c>
      <c r="G117" s="4">
        <v>0</v>
      </c>
      <c r="H117" s="4">
        <v>0</v>
      </c>
      <c r="I117" s="37">
        <v>812.53</v>
      </c>
    </row>
    <row r="118" spans="2:9" x14ac:dyDescent="0.35">
      <c r="B118" s="58">
        <v>42401</v>
      </c>
      <c r="C118" s="4">
        <v>296.75</v>
      </c>
      <c r="D118" s="17">
        <v>391.65</v>
      </c>
      <c r="E118" s="17">
        <v>95.42</v>
      </c>
      <c r="F118" s="17">
        <v>6.73</v>
      </c>
      <c r="G118" s="4">
        <v>0</v>
      </c>
      <c r="H118" s="4">
        <v>0</v>
      </c>
      <c r="I118" s="37">
        <v>790.55</v>
      </c>
    </row>
    <row r="119" spans="2:9" x14ac:dyDescent="0.35">
      <c r="B119" s="58">
        <v>42430</v>
      </c>
      <c r="C119" s="4">
        <v>334.51</v>
      </c>
      <c r="D119" s="17">
        <v>383.11</v>
      </c>
      <c r="E119" s="17">
        <v>112.23</v>
      </c>
      <c r="F119" s="17">
        <v>6.71</v>
      </c>
      <c r="G119" s="4">
        <v>0</v>
      </c>
      <c r="H119" s="4">
        <v>0</v>
      </c>
      <c r="I119" s="37">
        <v>836.56</v>
      </c>
    </row>
    <row r="120" spans="2:9" x14ac:dyDescent="0.35">
      <c r="B120" s="58">
        <v>42461</v>
      </c>
      <c r="C120" s="4">
        <v>303.45999999999998</v>
      </c>
      <c r="D120" s="17">
        <v>394.48</v>
      </c>
      <c r="E120" s="17">
        <v>101.92</v>
      </c>
      <c r="F120" s="17">
        <v>4.22</v>
      </c>
      <c r="G120" s="4">
        <v>0</v>
      </c>
      <c r="H120" s="4">
        <v>0</v>
      </c>
      <c r="I120" s="37">
        <v>804.08</v>
      </c>
    </row>
    <row r="121" spans="2:9" x14ac:dyDescent="0.35">
      <c r="B121" s="58">
        <v>42491</v>
      </c>
      <c r="C121" s="4">
        <v>334.37</v>
      </c>
      <c r="D121" s="17">
        <v>403.45</v>
      </c>
      <c r="E121" s="17">
        <v>92.2</v>
      </c>
      <c r="F121" s="17">
        <v>2.42</v>
      </c>
      <c r="G121" s="4">
        <v>0</v>
      </c>
      <c r="H121" s="4">
        <v>0</v>
      </c>
      <c r="I121" s="37">
        <v>832.44</v>
      </c>
    </row>
    <row r="122" spans="2:9" x14ac:dyDescent="0.35">
      <c r="B122" s="58">
        <v>42522</v>
      </c>
      <c r="C122" s="4">
        <v>348.09</v>
      </c>
      <c r="D122" s="17">
        <v>341.92</v>
      </c>
      <c r="E122" s="17">
        <v>113.36</v>
      </c>
      <c r="F122" s="17">
        <v>2.06</v>
      </c>
      <c r="G122" s="4">
        <v>0</v>
      </c>
      <c r="H122" s="4">
        <v>0</v>
      </c>
      <c r="I122" s="37">
        <v>805.43</v>
      </c>
    </row>
    <row r="123" spans="2:9" x14ac:dyDescent="0.35">
      <c r="B123" s="58">
        <v>42552</v>
      </c>
      <c r="C123" s="4">
        <v>336.92</v>
      </c>
      <c r="D123" s="17">
        <v>392.99</v>
      </c>
      <c r="E123" s="17">
        <v>109.74</v>
      </c>
      <c r="F123" s="17">
        <v>1.84</v>
      </c>
      <c r="G123" s="4">
        <v>0</v>
      </c>
      <c r="H123" s="4">
        <v>0</v>
      </c>
      <c r="I123" s="37">
        <v>841.49</v>
      </c>
    </row>
    <row r="124" spans="2:9" x14ac:dyDescent="0.35">
      <c r="B124" s="58">
        <v>42583</v>
      </c>
      <c r="C124" s="4">
        <v>363.61</v>
      </c>
      <c r="D124" s="17">
        <v>345</v>
      </c>
      <c r="E124" s="17">
        <v>137.77000000000001</v>
      </c>
      <c r="F124" s="17">
        <v>3.71</v>
      </c>
      <c r="G124" s="4">
        <v>0</v>
      </c>
      <c r="H124" s="4">
        <v>0</v>
      </c>
      <c r="I124" s="37">
        <v>850.09</v>
      </c>
    </row>
    <row r="125" spans="2:9" x14ac:dyDescent="0.35">
      <c r="B125" s="58">
        <v>42614</v>
      </c>
      <c r="C125" s="4">
        <v>348.63</v>
      </c>
      <c r="D125" s="17">
        <v>335.37</v>
      </c>
      <c r="E125" s="17">
        <v>136.75</v>
      </c>
      <c r="F125" s="17">
        <v>3.75</v>
      </c>
      <c r="G125" s="4">
        <v>0</v>
      </c>
      <c r="H125" s="4">
        <v>0</v>
      </c>
      <c r="I125" s="37">
        <v>824.5</v>
      </c>
    </row>
    <row r="126" spans="2:9" x14ac:dyDescent="0.35">
      <c r="B126" s="58">
        <v>42644</v>
      </c>
      <c r="C126" s="4">
        <v>356.88</v>
      </c>
      <c r="D126" s="17">
        <v>363.93</v>
      </c>
      <c r="E126" s="17">
        <v>135.24</v>
      </c>
      <c r="F126" s="17">
        <v>5.77</v>
      </c>
      <c r="G126" s="4">
        <v>0</v>
      </c>
      <c r="H126" s="4">
        <v>0</v>
      </c>
      <c r="I126" s="37">
        <v>861.82</v>
      </c>
    </row>
    <row r="127" spans="2:9" x14ac:dyDescent="0.35">
      <c r="B127" s="58">
        <v>42675</v>
      </c>
      <c r="C127" s="4">
        <v>314.92</v>
      </c>
      <c r="D127" s="17">
        <v>369.05</v>
      </c>
      <c r="E127" s="17">
        <v>158.05000000000001</v>
      </c>
      <c r="F127" s="17">
        <v>6.18</v>
      </c>
      <c r="G127" s="4">
        <v>0</v>
      </c>
      <c r="H127" s="4">
        <v>0</v>
      </c>
      <c r="I127" s="37">
        <v>848.2</v>
      </c>
    </row>
    <row r="128" spans="2:9" x14ac:dyDescent="0.35">
      <c r="B128" s="58">
        <v>42705</v>
      </c>
      <c r="C128" s="4">
        <v>299.08</v>
      </c>
      <c r="D128" s="17">
        <v>371.24</v>
      </c>
      <c r="E128" s="17">
        <v>157.85</v>
      </c>
      <c r="F128" s="17">
        <v>8.02</v>
      </c>
      <c r="G128" s="4">
        <v>0</v>
      </c>
      <c r="H128" s="4">
        <v>0</v>
      </c>
      <c r="I128" s="37">
        <v>836.19</v>
      </c>
    </row>
    <row r="129" spans="2:9" x14ac:dyDescent="0.35">
      <c r="B129" s="58">
        <v>42736</v>
      </c>
      <c r="C129" s="4">
        <v>252.44</v>
      </c>
      <c r="D129" s="17">
        <v>380.15</v>
      </c>
      <c r="E129" s="17">
        <v>197.08</v>
      </c>
      <c r="F129" s="17">
        <v>6.98</v>
      </c>
      <c r="G129" s="4">
        <v>0</v>
      </c>
      <c r="H129" s="4">
        <v>0.03</v>
      </c>
      <c r="I129" s="37">
        <v>836.65</v>
      </c>
    </row>
    <row r="130" spans="2:9" x14ac:dyDescent="0.35">
      <c r="B130" s="58">
        <v>42767</v>
      </c>
      <c r="C130" s="4">
        <v>213.9</v>
      </c>
      <c r="D130" s="17">
        <v>354.16</v>
      </c>
      <c r="E130" s="17">
        <v>182.36</v>
      </c>
      <c r="F130" s="17">
        <v>7.46</v>
      </c>
      <c r="G130" s="4">
        <v>0</v>
      </c>
      <c r="H130" s="4">
        <v>0.01</v>
      </c>
      <c r="I130" s="37">
        <v>757.89</v>
      </c>
    </row>
    <row r="131" spans="2:9" x14ac:dyDescent="0.35">
      <c r="B131" s="58">
        <v>42795</v>
      </c>
      <c r="C131" s="4">
        <v>234.26</v>
      </c>
      <c r="D131" s="17">
        <v>387.87</v>
      </c>
      <c r="E131" s="17">
        <v>229.66</v>
      </c>
      <c r="F131" s="17">
        <v>6.32</v>
      </c>
      <c r="G131" s="4">
        <v>0</v>
      </c>
      <c r="H131" s="4">
        <v>0.05</v>
      </c>
      <c r="I131" s="37">
        <v>858.1</v>
      </c>
    </row>
    <row r="132" spans="2:9" x14ac:dyDescent="0.35">
      <c r="B132" s="58">
        <v>42826</v>
      </c>
      <c r="C132" s="4">
        <v>211.55</v>
      </c>
      <c r="D132" s="17">
        <v>381.13</v>
      </c>
      <c r="E132" s="17">
        <v>223</v>
      </c>
      <c r="F132" s="17">
        <v>6.59</v>
      </c>
      <c r="G132" s="4">
        <v>0</v>
      </c>
      <c r="H132" s="4">
        <v>0.03</v>
      </c>
      <c r="I132" s="37">
        <v>822.26</v>
      </c>
    </row>
    <row r="133" spans="2:9" x14ac:dyDescent="0.35">
      <c r="B133" s="58">
        <v>42856</v>
      </c>
      <c r="C133" s="4">
        <v>228.56</v>
      </c>
      <c r="D133" s="17">
        <v>393.84</v>
      </c>
      <c r="E133" s="17">
        <v>223.57</v>
      </c>
      <c r="F133" s="17">
        <v>3.48</v>
      </c>
      <c r="G133" s="4">
        <v>0</v>
      </c>
      <c r="H133" s="4">
        <v>0.03</v>
      </c>
      <c r="I133" s="37">
        <v>849.45</v>
      </c>
    </row>
    <row r="134" spans="2:9" x14ac:dyDescent="0.35">
      <c r="B134" s="58">
        <v>42887</v>
      </c>
      <c r="C134" s="4">
        <v>180.22</v>
      </c>
      <c r="D134" s="17">
        <v>376.2</v>
      </c>
      <c r="E134" s="17">
        <v>274.26</v>
      </c>
      <c r="F134" s="17">
        <v>3.09</v>
      </c>
      <c r="G134" s="4">
        <v>0</v>
      </c>
      <c r="H134" s="4">
        <v>0.06</v>
      </c>
      <c r="I134" s="37">
        <v>833.77</v>
      </c>
    </row>
    <row r="135" spans="2:9" x14ac:dyDescent="0.35">
      <c r="B135" s="58">
        <v>42917</v>
      </c>
      <c r="C135" s="4">
        <v>192.56</v>
      </c>
      <c r="D135" s="17">
        <v>401.65</v>
      </c>
      <c r="E135" s="17">
        <v>271.32</v>
      </c>
      <c r="F135" s="17">
        <v>1.47</v>
      </c>
      <c r="G135" s="4">
        <v>0</v>
      </c>
      <c r="H135" s="4">
        <v>0.04</v>
      </c>
      <c r="I135" s="37">
        <v>867</v>
      </c>
    </row>
    <row r="136" spans="2:9" x14ac:dyDescent="0.35">
      <c r="B136" s="58">
        <v>42948</v>
      </c>
      <c r="C136" s="4">
        <v>251.3</v>
      </c>
      <c r="D136" s="17">
        <v>415.03</v>
      </c>
      <c r="E136" s="17">
        <v>159.46</v>
      </c>
      <c r="F136" s="17">
        <v>3.34</v>
      </c>
      <c r="G136" s="4">
        <v>0</v>
      </c>
      <c r="H136" s="4">
        <v>0.02</v>
      </c>
      <c r="I136" s="37">
        <v>829.13</v>
      </c>
    </row>
    <row r="137" spans="2:9" x14ac:dyDescent="0.35">
      <c r="B137" s="58">
        <v>42979</v>
      </c>
      <c r="C137" s="4">
        <v>239.47</v>
      </c>
      <c r="D137" s="17">
        <v>402.65</v>
      </c>
      <c r="E137" s="17">
        <v>213.34</v>
      </c>
      <c r="F137" s="17">
        <v>3.57</v>
      </c>
      <c r="G137" s="4">
        <v>0</v>
      </c>
      <c r="H137" s="4">
        <v>0.02</v>
      </c>
      <c r="I137" s="37">
        <v>859.03</v>
      </c>
    </row>
    <row r="138" spans="2:9" x14ac:dyDescent="0.35">
      <c r="B138" s="58">
        <v>43009</v>
      </c>
      <c r="C138" s="4">
        <v>216.98</v>
      </c>
      <c r="D138" s="17">
        <v>416.05</v>
      </c>
      <c r="E138" s="17">
        <v>223.84</v>
      </c>
      <c r="F138" s="17">
        <v>4.28</v>
      </c>
      <c r="G138" s="4">
        <v>0</v>
      </c>
      <c r="H138" s="4">
        <v>0.01</v>
      </c>
      <c r="I138" s="37">
        <v>861.15</v>
      </c>
    </row>
    <row r="139" spans="2:9" x14ac:dyDescent="0.35">
      <c r="B139" s="58">
        <v>43040</v>
      </c>
      <c r="C139" s="4">
        <v>305.16000000000003</v>
      </c>
      <c r="D139" s="17">
        <v>411.39</v>
      </c>
      <c r="E139" s="17">
        <v>153.13</v>
      </c>
      <c r="F139" s="17">
        <v>7.13</v>
      </c>
      <c r="G139" s="4">
        <v>0</v>
      </c>
      <c r="H139" s="4">
        <v>0.03</v>
      </c>
      <c r="I139" s="37">
        <v>876.81</v>
      </c>
    </row>
    <row r="140" spans="2:9" x14ac:dyDescent="0.35">
      <c r="B140" s="58">
        <v>43070</v>
      </c>
      <c r="C140" s="4">
        <v>250.42</v>
      </c>
      <c r="D140" s="17">
        <v>436.21</v>
      </c>
      <c r="E140" s="17">
        <v>185.2</v>
      </c>
      <c r="F140" s="17">
        <v>7.28</v>
      </c>
      <c r="G140" s="4">
        <v>0</v>
      </c>
      <c r="H140" s="4">
        <v>1.54</v>
      </c>
      <c r="I140" s="37">
        <v>879.11</v>
      </c>
    </row>
    <row r="141" spans="2:9" ht="14.5" customHeight="1" x14ac:dyDescent="0.35">
      <c r="B141" s="58">
        <v>43101</v>
      </c>
      <c r="C141" s="17">
        <v>222.95</v>
      </c>
      <c r="D141" s="17">
        <v>430.49</v>
      </c>
      <c r="E141" s="17">
        <v>242.34</v>
      </c>
      <c r="F141" s="17">
        <v>3.26</v>
      </c>
      <c r="G141" s="17">
        <v>0</v>
      </c>
      <c r="H141" s="17">
        <v>1.45</v>
      </c>
      <c r="I141" s="37">
        <v>900.49</v>
      </c>
    </row>
    <row r="142" spans="2:9" ht="14.5" customHeight="1" x14ac:dyDescent="0.35">
      <c r="B142" s="58">
        <v>43132</v>
      </c>
      <c r="C142" s="17">
        <v>193.43</v>
      </c>
      <c r="D142" s="17">
        <v>387.02</v>
      </c>
      <c r="E142" s="17">
        <v>249.13</v>
      </c>
      <c r="F142" s="17">
        <v>6.86</v>
      </c>
      <c r="G142" s="17">
        <v>0</v>
      </c>
      <c r="H142" s="17">
        <v>0.62</v>
      </c>
      <c r="I142" s="37">
        <v>837.06</v>
      </c>
    </row>
    <row r="143" spans="2:9" ht="14.5" customHeight="1" x14ac:dyDescent="0.35">
      <c r="B143" s="58">
        <v>43160</v>
      </c>
      <c r="C143" s="17">
        <v>248.39</v>
      </c>
      <c r="D143" s="17">
        <v>448.12</v>
      </c>
      <c r="E143" s="17">
        <v>202.18</v>
      </c>
      <c r="F143" s="17">
        <v>4.1100000000000003</v>
      </c>
      <c r="G143" s="17">
        <v>0</v>
      </c>
      <c r="H143" s="17">
        <v>7.0000000000000007E-2</v>
      </c>
      <c r="I143" s="37">
        <v>902.87</v>
      </c>
    </row>
    <row r="144" spans="2:9" ht="14.5" customHeight="1" x14ac:dyDescent="0.35">
      <c r="B144" s="58">
        <v>43191</v>
      </c>
      <c r="C144" s="17">
        <v>316.85000000000002</v>
      </c>
      <c r="D144" s="17">
        <v>427.73</v>
      </c>
      <c r="E144" s="17">
        <v>138.66</v>
      </c>
      <c r="F144" s="17">
        <v>3.24</v>
      </c>
      <c r="G144" s="17">
        <v>0</v>
      </c>
      <c r="H144" s="17">
        <v>7.0000000000000007E-2</v>
      </c>
      <c r="I144" s="37">
        <v>886.55</v>
      </c>
    </row>
    <row r="145" spans="2:9" ht="14.5" customHeight="1" x14ac:dyDescent="0.35">
      <c r="B145" s="58">
        <v>43221</v>
      </c>
      <c r="C145" s="17">
        <v>385.88</v>
      </c>
      <c r="D145" s="17">
        <v>447.05</v>
      </c>
      <c r="E145" s="17">
        <v>82.92</v>
      </c>
      <c r="F145" s="17">
        <v>1.7</v>
      </c>
      <c r="G145" s="17">
        <v>0.02</v>
      </c>
      <c r="H145" s="17">
        <v>0.08</v>
      </c>
      <c r="I145" s="37">
        <v>917.65</v>
      </c>
    </row>
    <row r="146" spans="2:9" ht="14.5" customHeight="1" x14ac:dyDescent="0.35">
      <c r="B146" s="58">
        <v>43252</v>
      </c>
      <c r="C146" s="17">
        <v>400.86</v>
      </c>
      <c r="D146" s="17">
        <v>430</v>
      </c>
      <c r="E146" s="17">
        <v>82.37</v>
      </c>
      <c r="F146" s="17">
        <v>1.23</v>
      </c>
      <c r="G146" s="17">
        <v>0.01</v>
      </c>
      <c r="H146" s="17">
        <v>0.01</v>
      </c>
      <c r="I146" s="37">
        <v>914.48</v>
      </c>
    </row>
    <row r="147" spans="2:9" ht="14.5" customHeight="1" x14ac:dyDescent="0.35">
      <c r="B147" s="58">
        <v>43282</v>
      </c>
      <c r="C147" s="17">
        <v>420.32</v>
      </c>
      <c r="D147" s="17">
        <v>438.12</v>
      </c>
      <c r="E147" s="17">
        <v>86.86</v>
      </c>
      <c r="F147" s="17">
        <v>1.69</v>
      </c>
      <c r="G147" s="17">
        <v>0</v>
      </c>
      <c r="H147" s="17">
        <v>0.02</v>
      </c>
      <c r="I147" s="37">
        <v>947.01</v>
      </c>
    </row>
    <row r="148" spans="2:9" ht="14.5" customHeight="1" x14ac:dyDescent="0.35">
      <c r="B148" s="58">
        <v>43313</v>
      </c>
      <c r="C148" s="17">
        <v>417.37</v>
      </c>
      <c r="D148" s="17">
        <v>426.57</v>
      </c>
      <c r="E148" s="17">
        <v>117.23</v>
      </c>
      <c r="F148" s="17">
        <v>2.52</v>
      </c>
      <c r="G148" s="17">
        <v>0.01</v>
      </c>
      <c r="H148" s="17">
        <v>0.02</v>
      </c>
      <c r="I148" s="37">
        <v>963.72</v>
      </c>
    </row>
    <row r="149" spans="2:9" ht="14.5" customHeight="1" x14ac:dyDescent="0.35">
      <c r="B149" s="58">
        <v>43344</v>
      </c>
      <c r="C149" s="17">
        <v>392.07</v>
      </c>
      <c r="D149" s="17">
        <v>439.8</v>
      </c>
      <c r="E149" s="17">
        <v>85.33</v>
      </c>
      <c r="F149" s="17">
        <v>7.46</v>
      </c>
      <c r="G149" s="17">
        <v>0.01</v>
      </c>
      <c r="H149" s="17">
        <v>0.02</v>
      </c>
      <c r="I149" s="37">
        <v>924.69</v>
      </c>
    </row>
    <row r="150" spans="2:9" ht="14.5" customHeight="1" x14ac:dyDescent="0.35">
      <c r="B150" s="58">
        <v>43374</v>
      </c>
      <c r="C150" s="17">
        <v>365.42</v>
      </c>
      <c r="D150" s="17">
        <v>432.03</v>
      </c>
      <c r="E150" s="17">
        <v>87.21</v>
      </c>
      <c r="F150" s="17">
        <v>76.86</v>
      </c>
      <c r="G150" s="17">
        <v>0.01</v>
      </c>
      <c r="H150" s="17">
        <v>0.02</v>
      </c>
      <c r="I150" s="37">
        <v>961.55</v>
      </c>
    </row>
    <row r="151" spans="2:9" ht="14.5" customHeight="1" x14ac:dyDescent="0.35">
      <c r="B151" s="58">
        <v>43405</v>
      </c>
      <c r="C151" s="17">
        <v>340.07</v>
      </c>
      <c r="D151" s="17">
        <v>397.58</v>
      </c>
      <c r="E151" s="17">
        <v>80.150000000000006</v>
      </c>
      <c r="F151" s="17">
        <v>133.4</v>
      </c>
      <c r="G151" s="17">
        <v>5.77</v>
      </c>
      <c r="H151" s="17">
        <v>0.02</v>
      </c>
      <c r="I151" s="37">
        <v>956.99</v>
      </c>
    </row>
    <row r="152" spans="2:9" ht="15" customHeight="1" x14ac:dyDescent="0.35">
      <c r="B152" s="58">
        <v>43435</v>
      </c>
      <c r="C152" s="17">
        <v>282.77999999999997</v>
      </c>
      <c r="D152" s="17">
        <v>423.32</v>
      </c>
      <c r="E152" s="17">
        <v>91.53</v>
      </c>
      <c r="F152" s="17">
        <v>133.26</v>
      </c>
      <c r="G152" s="17">
        <v>7.79</v>
      </c>
      <c r="H152" s="17">
        <v>0.04</v>
      </c>
      <c r="I152" s="37">
        <v>938.72</v>
      </c>
    </row>
    <row r="153" spans="2:9" ht="14.5" customHeight="1" x14ac:dyDescent="0.35">
      <c r="B153" s="58">
        <v>43466</v>
      </c>
      <c r="C153" s="17">
        <v>278.92</v>
      </c>
      <c r="D153" s="17">
        <v>417.35</v>
      </c>
      <c r="E153" s="17">
        <v>114.07</v>
      </c>
      <c r="F153" s="17">
        <v>147.55000000000001</v>
      </c>
      <c r="G153" s="17">
        <v>7.99</v>
      </c>
      <c r="H153" s="17">
        <v>0.02</v>
      </c>
      <c r="I153" s="37">
        <v>965.9</v>
      </c>
    </row>
    <row r="154" spans="2:9" ht="14.5" customHeight="1" x14ac:dyDescent="0.35">
      <c r="B154" s="58">
        <v>43497</v>
      </c>
      <c r="C154" s="17">
        <v>253.91</v>
      </c>
      <c r="D154" s="17">
        <v>374.43</v>
      </c>
      <c r="E154" s="17">
        <v>98.56</v>
      </c>
      <c r="F154" s="17">
        <v>146.21</v>
      </c>
      <c r="G154" s="17">
        <v>7.02</v>
      </c>
      <c r="H154" s="17">
        <v>0.01</v>
      </c>
      <c r="I154" s="37">
        <v>880.14</v>
      </c>
    </row>
    <row r="155" spans="2:9" ht="14.5" customHeight="1" x14ac:dyDescent="0.35">
      <c r="B155" s="58">
        <v>43525</v>
      </c>
      <c r="C155" s="17">
        <v>282.83</v>
      </c>
      <c r="D155" s="17">
        <v>445.1</v>
      </c>
      <c r="E155" s="17">
        <v>99</v>
      </c>
      <c r="F155" s="17">
        <v>144</v>
      </c>
      <c r="G155" s="17">
        <v>8.07</v>
      </c>
      <c r="H155" s="17">
        <v>0.02</v>
      </c>
      <c r="I155" s="37">
        <v>979.02</v>
      </c>
    </row>
    <row r="156" spans="2:9" ht="14.5" customHeight="1" x14ac:dyDescent="0.35">
      <c r="B156" s="58">
        <v>43556</v>
      </c>
      <c r="C156" s="17">
        <v>191.99</v>
      </c>
      <c r="D156" s="17">
        <v>397.66</v>
      </c>
      <c r="E156" s="17">
        <v>181.14</v>
      </c>
      <c r="F156" s="17">
        <v>142.21</v>
      </c>
      <c r="G156" s="17">
        <v>8.19</v>
      </c>
      <c r="H156" s="17">
        <v>0.01</v>
      </c>
      <c r="I156" s="37">
        <v>921.2</v>
      </c>
    </row>
    <row r="157" spans="2:9" ht="14.5" customHeight="1" x14ac:dyDescent="0.35">
      <c r="B157" s="58">
        <v>43586</v>
      </c>
      <c r="C157" s="17">
        <v>242.63</v>
      </c>
      <c r="D157" s="17">
        <v>427.38</v>
      </c>
      <c r="E157" s="17">
        <v>110.34</v>
      </c>
      <c r="F157" s="17">
        <v>164.12</v>
      </c>
      <c r="G157" s="17">
        <v>7.91</v>
      </c>
      <c r="H157" s="17">
        <v>0</v>
      </c>
      <c r="I157" s="37">
        <v>952.39</v>
      </c>
    </row>
    <row r="158" spans="2:9" ht="14.5" customHeight="1" x14ac:dyDescent="0.35">
      <c r="B158" s="58">
        <v>43617</v>
      </c>
      <c r="C158" s="17">
        <v>272.42</v>
      </c>
      <c r="D158" s="17">
        <v>413.44</v>
      </c>
      <c r="E158" s="17">
        <v>146.22999999999999</v>
      </c>
      <c r="F158" s="17">
        <v>92.38</v>
      </c>
      <c r="G158" s="17">
        <v>7.07</v>
      </c>
      <c r="H158" s="17">
        <v>0.05</v>
      </c>
      <c r="I158" s="37">
        <v>931.59</v>
      </c>
    </row>
    <row r="159" spans="2:9" ht="14.5" customHeight="1" x14ac:dyDescent="0.35">
      <c r="B159" s="58">
        <v>43647</v>
      </c>
      <c r="C159" s="17">
        <v>268.91000000000003</v>
      </c>
      <c r="D159" s="17">
        <v>440.3</v>
      </c>
      <c r="E159" s="17">
        <v>133.41</v>
      </c>
      <c r="F159" s="17">
        <v>124.89</v>
      </c>
      <c r="G159" s="17">
        <v>7.09</v>
      </c>
      <c r="H159" s="17">
        <v>0.02</v>
      </c>
      <c r="I159" s="37">
        <v>974.62</v>
      </c>
    </row>
    <row r="160" spans="2:9" ht="14.5" customHeight="1" x14ac:dyDescent="0.35">
      <c r="B160" s="58">
        <v>43678</v>
      </c>
      <c r="C160" s="17">
        <v>251.48</v>
      </c>
      <c r="D160" s="17">
        <v>425.46</v>
      </c>
      <c r="E160" s="17">
        <v>131.77000000000001</v>
      </c>
      <c r="F160" s="17">
        <v>151.43</v>
      </c>
      <c r="G160" s="17">
        <v>7.44</v>
      </c>
      <c r="H160" s="17">
        <v>0.03</v>
      </c>
      <c r="I160" s="37">
        <v>967.61</v>
      </c>
    </row>
    <row r="161" spans="2:9" ht="14.5" customHeight="1" x14ac:dyDescent="0.35">
      <c r="B161" s="58">
        <v>43709</v>
      </c>
      <c r="C161" s="17">
        <v>233.8</v>
      </c>
      <c r="D161" s="17">
        <v>453.93</v>
      </c>
      <c r="E161" s="17">
        <v>104.77</v>
      </c>
      <c r="F161" s="17">
        <v>152.91</v>
      </c>
      <c r="G161" s="17">
        <v>7.91</v>
      </c>
      <c r="H161" s="17">
        <v>0.03</v>
      </c>
      <c r="I161" s="37">
        <v>953.34</v>
      </c>
    </row>
    <row r="162" spans="2:9" ht="14.5" customHeight="1" x14ac:dyDescent="0.35">
      <c r="B162" s="58">
        <v>43739</v>
      </c>
      <c r="C162" s="17">
        <v>268.39999999999998</v>
      </c>
      <c r="D162" s="17">
        <v>493.56</v>
      </c>
      <c r="E162" s="17">
        <v>69.510000000000005</v>
      </c>
      <c r="F162" s="17">
        <v>137.41999999999999</v>
      </c>
      <c r="G162" s="17">
        <v>8.0500000000000007</v>
      </c>
      <c r="H162" s="17">
        <v>0.04</v>
      </c>
      <c r="I162" s="37">
        <v>976.98</v>
      </c>
    </row>
    <row r="163" spans="2:9" ht="14.5" customHeight="1" x14ac:dyDescent="0.35">
      <c r="B163" s="58">
        <v>43770</v>
      </c>
      <c r="C163" s="17">
        <v>299.19</v>
      </c>
      <c r="D163" s="17">
        <v>481.9</v>
      </c>
      <c r="E163" s="17">
        <v>62.44</v>
      </c>
      <c r="F163" s="17">
        <v>114.03</v>
      </c>
      <c r="G163" s="17">
        <v>7.84</v>
      </c>
      <c r="H163" s="17">
        <v>0.02</v>
      </c>
      <c r="I163" s="37">
        <v>965.42</v>
      </c>
    </row>
    <row r="164" spans="2:9" ht="15" customHeight="1" x14ac:dyDescent="0.35">
      <c r="B164" s="58">
        <v>43800</v>
      </c>
      <c r="C164" s="17">
        <v>360.88</v>
      </c>
      <c r="D164" s="17">
        <v>464.14</v>
      </c>
      <c r="E164" s="17">
        <v>62.18</v>
      </c>
      <c r="F164" s="17">
        <v>45.57</v>
      </c>
      <c r="G164" s="17">
        <v>7.58</v>
      </c>
      <c r="H164" s="17">
        <v>0.05</v>
      </c>
      <c r="I164" s="37">
        <v>940.4</v>
      </c>
    </row>
    <row r="165" spans="2:9" x14ac:dyDescent="0.35">
      <c r="B165" s="58">
        <v>43831</v>
      </c>
      <c r="C165" s="4">
        <v>357.69</v>
      </c>
      <c r="D165" s="4">
        <v>476.6</v>
      </c>
      <c r="E165" s="17">
        <v>54.51</v>
      </c>
      <c r="F165" s="17">
        <v>89.7</v>
      </c>
      <c r="G165" s="17">
        <v>7.59</v>
      </c>
      <c r="H165" s="17">
        <v>0.01</v>
      </c>
      <c r="I165" s="37">
        <v>986.09</v>
      </c>
    </row>
    <row r="166" spans="2:9" x14ac:dyDescent="0.35">
      <c r="B166" s="58">
        <v>43862</v>
      </c>
      <c r="C166" s="4">
        <v>341.94</v>
      </c>
      <c r="D166" s="4">
        <v>430.73</v>
      </c>
      <c r="E166" s="17">
        <v>53.83</v>
      </c>
      <c r="F166" s="17">
        <v>100.16</v>
      </c>
      <c r="G166" s="17">
        <v>6.94</v>
      </c>
      <c r="H166" s="17">
        <v>0.02</v>
      </c>
      <c r="I166" s="37">
        <v>933.62</v>
      </c>
    </row>
    <row r="167" spans="2:9" x14ac:dyDescent="0.35">
      <c r="B167" s="58">
        <v>43891</v>
      </c>
      <c r="C167" s="4">
        <v>359.11</v>
      </c>
      <c r="D167" s="4">
        <v>460.27</v>
      </c>
      <c r="E167" s="17">
        <v>55.65</v>
      </c>
      <c r="F167" s="17">
        <v>85.88</v>
      </c>
      <c r="G167" s="17">
        <v>7.8</v>
      </c>
      <c r="H167" s="17">
        <v>0.02</v>
      </c>
      <c r="I167" s="37">
        <v>968.74</v>
      </c>
    </row>
    <row r="168" spans="2:9" x14ac:dyDescent="0.35">
      <c r="B168" s="58">
        <v>43922</v>
      </c>
      <c r="C168" s="4">
        <v>297.63</v>
      </c>
      <c r="D168" s="4">
        <v>411.76</v>
      </c>
      <c r="E168" s="17">
        <v>35.75</v>
      </c>
      <c r="F168" s="17">
        <v>88.03</v>
      </c>
      <c r="G168" s="17">
        <v>7.75</v>
      </c>
      <c r="H168" s="17">
        <v>0.04</v>
      </c>
      <c r="I168" s="37">
        <v>840.96</v>
      </c>
    </row>
    <row r="169" spans="2:9" x14ac:dyDescent="0.35">
      <c r="B169" s="58">
        <v>43952</v>
      </c>
      <c r="C169" s="4">
        <v>319.47000000000003</v>
      </c>
      <c r="D169" s="4">
        <v>391.79</v>
      </c>
      <c r="E169" s="17">
        <v>56.3</v>
      </c>
      <c r="F169" s="17">
        <v>105.62</v>
      </c>
      <c r="G169" s="17">
        <v>7.89</v>
      </c>
      <c r="H169" s="17">
        <v>0.01</v>
      </c>
      <c r="I169" s="37">
        <v>881.09</v>
      </c>
    </row>
    <row r="170" spans="2:9" x14ac:dyDescent="0.35">
      <c r="B170" s="58">
        <v>43983</v>
      </c>
      <c r="C170" s="4">
        <v>334.17</v>
      </c>
      <c r="D170" s="4">
        <v>421.44</v>
      </c>
      <c r="E170" s="17">
        <v>61.87</v>
      </c>
      <c r="F170" s="17">
        <v>88.45</v>
      </c>
      <c r="G170" s="17">
        <v>6.96</v>
      </c>
      <c r="H170" s="17">
        <v>0.01</v>
      </c>
      <c r="I170" s="37">
        <v>912.9</v>
      </c>
    </row>
    <row r="171" spans="2:9" x14ac:dyDescent="0.35">
      <c r="B171" s="58">
        <v>44013</v>
      </c>
      <c r="C171" s="4">
        <v>357.84</v>
      </c>
      <c r="D171" s="4">
        <v>433.46</v>
      </c>
      <c r="E171" s="17">
        <v>60.63</v>
      </c>
      <c r="F171" s="17">
        <v>110.42</v>
      </c>
      <c r="G171" s="17">
        <v>6.78</v>
      </c>
      <c r="H171" s="17">
        <v>0</v>
      </c>
      <c r="I171" s="37">
        <v>969.14</v>
      </c>
    </row>
    <row r="172" spans="2:9" x14ac:dyDescent="0.35">
      <c r="B172" s="58">
        <v>44044</v>
      </c>
      <c r="C172" s="4">
        <v>357.69</v>
      </c>
      <c r="D172" s="4">
        <v>423.59</v>
      </c>
      <c r="E172" s="17">
        <v>70.5</v>
      </c>
      <c r="F172" s="17">
        <v>118.62</v>
      </c>
      <c r="G172" s="17">
        <v>6.68</v>
      </c>
      <c r="H172" s="17">
        <v>0.01</v>
      </c>
      <c r="I172" s="37">
        <v>977.09</v>
      </c>
    </row>
    <row r="173" spans="2:9" x14ac:dyDescent="0.35">
      <c r="B173" s="58">
        <v>44075</v>
      </c>
      <c r="C173" s="4">
        <v>355.75</v>
      </c>
      <c r="D173" s="4">
        <v>380.7</v>
      </c>
      <c r="E173" s="17">
        <v>89.46</v>
      </c>
      <c r="F173" s="17">
        <v>139.82</v>
      </c>
      <c r="G173" s="17">
        <v>6.79</v>
      </c>
      <c r="H173" s="17">
        <v>0.01</v>
      </c>
      <c r="I173" s="37">
        <v>972.51</v>
      </c>
    </row>
    <row r="174" spans="2:9" x14ac:dyDescent="0.35">
      <c r="B174" s="58">
        <v>44105</v>
      </c>
      <c r="C174" s="4">
        <v>373.09</v>
      </c>
      <c r="D174" s="4">
        <v>440.13</v>
      </c>
      <c r="E174" s="17">
        <v>79.510000000000005</v>
      </c>
      <c r="F174" s="17">
        <v>121.83</v>
      </c>
      <c r="G174" s="17">
        <v>8.16</v>
      </c>
      <c r="H174" s="17">
        <v>0.01</v>
      </c>
      <c r="I174" s="103">
        <v>1022.74</v>
      </c>
    </row>
    <row r="175" spans="2:9" x14ac:dyDescent="0.35">
      <c r="B175" s="58">
        <v>44136</v>
      </c>
      <c r="C175" s="4">
        <v>385.05</v>
      </c>
      <c r="D175" s="4">
        <v>396.82</v>
      </c>
      <c r="E175" s="17">
        <v>59.65</v>
      </c>
      <c r="F175" s="17">
        <v>147.84</v>
      </c>
      <c r="G175" s="17">
        <v>7.59</v>
      </c>
      <c r="H175" s="17">
        <v>0.01</v>
      </c>
      <c r="I175" s="37">
        <v>996.96</v>
      </c>
    </row>
    <row r="176" spans="2:9" x14ac:dyDescent="0.35">
      <c r="B176" s="58">
        <v>44166</v>
      </c>
      <c r="C176" s="4">
        <v>400.31</v>
      </c>
      <c r="D176" s="4">
        <v>392.5</v>
      </c>
      <c r="E176" s="17">
        <v>77.37</v>
      </c>
      <c r="F176" s="17">
        <v>134.97999999999999</v>
      </c>
      <c r="G176" s="17">
        <v>7.1</v>
      </c>
      <c r="H176" s="17">
        <v>0.03</v>
      </c>
      <c r="I176" s="103">
        <v>1012.29</v>
      </c>
    </row>
    <row r="177" spans="2:9" x14ac:dyDescent="0.35">
      <c r="B177" s="58">
        <v>44197</v>
      </c>
      <c r="C177" s="4">
        <v>330.31</v>
      </c>
      <c r="D177" s="4">
        <v>464.78</v>
      </c>
      <c r="E177" s="17">
        <v>74.69</v>
      </c>
      <c r="F177" s="17">
        <v>137.65</v>
      </c>
      <c r="G177" s="17">
        <v>7.44</v>
      </c>
      <c r="H177" s="17">
        <v>0.03</v>
      </c>
      <c r="I177" s="103">
        <v>1014.91</v>
      </c>
    </row>
    <row r="178" spans="2:9" x14ac:dyDescent="0.35">
      <c r="B178" s="58">
        <v>44228</v>
      </c>
      <c r="C178" s="4">
        <v>281.39999999999998</v>
      </c>
      <c r="D178" s="4">
        <v>422.15</v>
      </c>
      <c r="E178" s="17">
        <v>105.51</v>
      </c>
      <c r="F178" s="17">
        <v>109.84</v>
      </c>
      <c r="G178" s="17">
        <v>6.97</v>
      </c>
      <c r="H178" s="17">
        <v>0.04</v>
      </c>
      <c r="I178" s="37">
        <v>925.92</v>
      </c>
    </row>
    <row r="179" spans="2:9" x14ac:dyDescent="0.35">
      <c r="B179" s="58">
        <v>44256</v>
      </c>
      <c r="C179" s="4">
        <v>305.11</v>
      </c>
      <c r="D179" s="4">
        <v>460.68</v>
      </c>
      <c r="E179" s="17">
        <v>63.08</v>
      </c>
      <c r="F179" s="17">
        <v>199.92</v>
      </c>
      <c r="G179" s="17">
        <v>7.77</v>
      </c>
      <c r="H179" s="17">
        <v>0.03</v>
      </c>
      <c r="I179" s="103">
        <v>1036.5899999999999</v>
      </c>
    </row>
    <row r="180" spans="2:9" x14ac:dyDescent="0.35">
      <c r="B180" s="58">
        <v>44287</v>
      </c>
      <c r="C180" s="4">
        <v>307.93</v>
      </c>
      <c r="D180" s="4">
        <v>424.54</v>
      </c>
      <c r="E180" s="17">
        <v>59.6</v>
      </c>
      <c r="F180" s="17">
        <v>164.71</v>
      </c>
      <c r="G180" s="17">
        <v>7.41</v>
      </c>
      <c r="H180" s="17">
        <v>0.06</v>
      </c>
      <c r="I180" s="37">
        <v>964.23</v>
      </c>
    </row>
    <row r="181" spans="2:9" x14ac:dyDescent="0.35">
      <c r="B181" s="58">
        <v>44317</v>
      </c>
      <c r="C181" s="4">
        <v>369.02</v>
      </c>
      <c r="D181" s="4">
        <v>385.38</v>
      </c>
      <c r="E181" s="17">
        <v>116.17</v>
      </c>
      <c r="F181" s="17">
        <v>130.21</v>
      </c>
      <c r="G181" s="17">
        <v>7.59</v>
      </c>
      <c r="H181" s="17">
        <v>0.04</v>
      </c>
      <c r="I181" s="103">
        <v>1008.4</v>
      </c>
    </row>
    <row r="182" spans="2:9" x14ac:dyDescent="0.35">
      <c r="B182" s="58">
        <v>44348</v>
      </c>
      <c r="C182" s="4">
        <v>317.99</v>
      </c>
      <c r="D182" s="4">
        <v>408.96</v>
      </c>
      <c r="E182" s="17">
        <v>84.17</v>
      </c>
      <c r="F182" s="17">
        <v>184.61</v>
      </c>
      <c r="G182" s="17">
        <v>7.41</v>
      </c>
      <c r="H182" s="17">
        <v>0.05</v>
      </c>
      <c r="I182" s="103">
        <v>1003.19</v>
      </c>
    </row>
    <row r="183" spans="2:9" x14ac:dyDescent="0.35">
      <c r="B183" s="58">
        <v>44378</v>
      </c>
      <c r="C183" s="4">
        <v>285.79000000000002</v>
      </c>
      <c r="D183" s="4">
        <v>463.16</v>
      </c>
      <c r="E183" s="17">
        <v>122.59</v>
      </c>
      <c r="F183" s="17">
        <v>152.69</v>
      </c>
      <c r="G183" s="17">
        <v>13.06</v>
      </c>
      <c r="H183" s="17">
        <v>0.05</v>
      </c>
      <c r="I183" s="103">
        <v>1037.3499999999999</v>
      </c>
    </row>
    <row r="184" spans="2:9" x14ac:dyDescent="0.35">
      <c r="B184" s="58">
        <v>44409</v>
      </c>
      <c r="C184" s="4">
        <v>274.02999999999997</v>
      </c>
      <c r="D184" s="4">
        <v>452.79</v>
      </c>
      <c r="E184" s="17">
        <v>109.35</v>
      </c>
      <c r="F184" s="17">
        <v>190.07</v>
      </c>
      <c r="G184" s="17">
        <v>17.02</v>
      </c>
      <c r="H184" s="17">
        <v>0.05</v>
      </c>
      <c r="I184" s="103">
        <v>1043.3</v>
      </c>
    </row>
    <row r="185" spans="2:9" x14ac:dyDescent="0.35">
      <c r="B185" s="58">
        <v>44440</v>
      </c>
      <c r="C185" s="4">
        <v>261.68</v>
      </c>
      <c r="D185" s="4">
        <v>439.81</v>
      </c>
      <c r="E185" s="17">
        <v>107.24</v>
      </c>
      <c r="F185" s="17">
        <v>187.06</v>
      </c>
      <c r="G185" s="17">
        <v>18.239999999999998</v>
      </c>
      <c r="H185" s="17">
        <v>0.03</v>
      </c>
      <c r="I185" s="103">
        <v>1014.07</v>
      </c>
    </row>
    <row r="186" spans="2:9" x14ac:dyDescent="0.35">
      <c r="B186" s="58">
        <v>44470</v>
      </c>
      <c r="C186" s="4">
        <v>309.26</v>
      </c>
      <c r="D186" s="4">
        <v>387.8</v>
      </c>
      <c r="E186" s="17">
        <v>117.64</v>
      </c>
      <c r="F186" s="17">
        <v>200.91</v>
      </c>
      <c r="G186" s="17">
        <v>23.43</v>
      </c>
      <c r="H186" s="17">
        <v>0.01</v>
      </c>
      <c r="I186" s="103">
        <v>1039.05</v>
      </c>
    </row>
    <row r="187" spans="2:9" x14ac:dyDescent="0.35">
      <c r="B187" s="58">
        <v>44501</v>
      </c>
      <c r="C187" s="4">
        <v>293.33</v>
      </c>
      <c r="D187" s="4">
        <v>378.49</v>
      </c>
      <c r="E187" s="17">
        <v>134.91</v>
      </c>
      <c r="F187" s="17">
        <v>195.68</v>
      </c>
      <c r="G187" s="17">
        <v>23.04</v>
      </c>
      <c r="H187" s="17">
        <v>0.04</v>
      </c>
      <c r="I187" s="103">
        <v>1025.49</v>
      </c>
    </row>
    <row r="188" spans="2:9" x14ac:dyDescent="0.35">
      <c r="B188" s="58">
        <v>44531</v>
      </c>
      <c r="C188" s="4">
        <v>339.13</v>
      </c>
      <c r="D188" s="4">
        <v>348.5</v>
      </c>
      <c r="E188" s="17">
        <v>167.26</v>
      </c>
      <c r="F188" s="17">
        <v>131.44999999999999</v>
      </c>
      <c r="G188" s="17">
        <v>27.85</v>
      </c>
      <c r="H188" s="17">
        <v>0.03</v>
      </c>
      <c r="I188" s="103">
        <v>1014.22</v>
      </c>
    </row>
    <row r="189" spans="2:9" x14ac:dyDescent="0.35">
      <c r="B189" s="58">
        <v>44562</v>
      </c>
      <c r="C189" s="4">
        <v>320.3</v>
      </c>
      <c r="D189" s="17">
        <v>310.79000000000002</v>
      </c>
      <c r="E189" s="17">
        <v>206.26</v>
      </c>
      <c r="F189" s="17">
        <v>156.28</v>
      </c>
      <c r="G189" s="17">
        <v>32.409999999999997</v>
      </c>
      <c r="H189" s="17">
        <v>0</v>
      </c>
      <c r="I189" s="103">
        <v>1026.03</v>
      </c>
    </row>
    <row r="190" spans="2:9" x14ac:dyDescent="0.35">
      <c r="B190" s="58">
        <v>44593</v>
      </c>
      <c r="C190" s="4">
        <v>244.23</v>
      </c>
      <c r="D190" s="17">
        <v>304.77</v>
      </c>
      <c r="E190" s="17">
        <v>223.97</v>
      </c>
      <c r="F190" s="17">
        <v>123.29</v>
      </c>
      <c r="G190" s="17">
        <v>30.09</v>
      </c>
      <c r="H190" s="17">
        <v>0.05</v>
      </c>
      <c r="I190" s="37">
        <v>926.4</v>
      </c>
    </row>
    <row r="191" spans="2:9" x14ac:dyDescent="0.35">
      <c r="B191" s="58">
        <v>44621</v>
      </c>
      <c r="C191" s="4">
        <v>243.2</v>
      </c>
      <c r="D191" s="17">
        <v>410.35</v>
      </c>
      <c r="E191" s="17">
        <v>170.16</v>
      </c>
      <c r="F191" s="17">
        <v>201.76</v>
      </c>
      <c r="G191" s="17">
        <v>35.14</v>
      </c>
      <c r="H191" s="17">
        <v>0.01</v>
      </c>
      <c r="I191" s="103">
        <v>1060.6199999999999</v>
      </c>
    </row>
    <row r="192" spans="2:9" x14ac:dyDescent="0.35">
      <c r="B192" s="58">
        <v>44652</v>
      </c>
      <c r="C192" s="4">
        <v>228.86</v>
      </c>
      <c r="D192" s="17">
        <v>441.39</v>
      </c>
      <c r="E192" s="17">
        <v>125.82</v>
      </c>
      <c r="F192" s="17">
        <v>179.24</v>
      </c>
      <c r="G192" s="17">
        <v>31.04</v>
      </c>
      <c r="H192" s="17">
        <v>0.04</v>
      </c>
      <c r="I192" s="103">
        <v>1006.39</v>
      </c>
    </row>
    <row r="193" spans="2:9" x14ac:dyDescent="0.35">
      <c r="B193" s="58">
        <v>44682</v>
      </c>
      <c r="C193" s="4">
        <v>284.04000000000002</v>
      </c>
      <c r="D193" s="17">
        <v>521.44000000000005</v>
      </c>
      <c r="E193" s="17">
        <v>79.709999999999994</v>
      </c>
      <c r="F193" s="17">
        <v>152.76</v>
      </c>
      <c r="G193" s="17">
        <v>33.21</v>
      </c>
      <c r="H193" s="17">
        <v>0.03</v>
      </c>
      <c r="I193" s="103">
        <v>1071.19</v>
      </c>
    </row>
    <row r="194" spans="2:9" x14ac:dyDescent="0.35">
      <c r="B194" s="58">
        <v>44713</v>
      </c>
      <c r="C194" s="4">
        <v>264.86</v>
      </c>
      <c r="D194" s="17">
        <v>493.85</v>
      </c>
      <c r="E194" s="17">
        <v>83.1</v>
      </c>
      <c r="F194" s="17">
        <v>181.07</v>
      </c>
      <c r="G194" s="17">
        <v>28.2</v>
      </c>
      <c r="H194" s="17">
        <v>0.02</v>
      </c>
      <c r="I194" s="103">
        <v>1051.0999999999999</v>
      </c>
    </row>
    <row r="195" spans="2:9" x14ac:dyDescent="0.35">
      <c r="B195" s="58">
        <v>44743</v>
      </c>
      <c r="C195" s="4">
        <v>252.39</v>
      </c>
      <c r="D195" s="17">
        <v>520.69000000000005</v>
      </c>
      <c r="E195" s="17">
        <v>104.36</v>
      </c>
      <c r="F195" s="17">
        <v>208.4</v>
      </c>
      <c r="G195" s="17">
        <v>24.71</v>
      </c>
      <c r="H195" s="17">
        <v>0.02</v>
      </c>
      <c r="I195" s="103">
        <v>1110.57</v>
      </c>
    </row>
    <row r="196" spans="2:9" x14ac:dyDescent="0.35">
      <c r="B196" s="58">
        <v>44774</v>
      </c>
      <c r="C196" s="4">
        <v>256.76</v>
      </c>
      <c r="D196" s="17">
        <v>513.48</v>
      </c>
      <c r="E196" s="17">
        <v>120.54</v>
      </c>
      <c r="F196" s="17">
        <v>185.7</v>
      </c>
      <c r="G196" s="17">
        <v>22.43</v>
      </c>
      <c r="H196" s="17">
        <v>0.02</v>
      </c>
      <c r="I196" s="103">
        <v>1098.92</v>
      </c>
    </row>
    <row r="197" spans="2:9" x14ac:dyDescent="0.35">
      <c r="B197" s="58">
        <v>44805</v>
      </c>
      <c r="C197" s="4">
        <v>243.89</v>
      </c>
      <c r="D197" s="17">
        <v>487.63</v>
      </c>
      <c r="E197" s="17">
        <v>118.11</v>
      </c>
      <c r="F197" s="17">
        <v>200.56</v>
      </c>
      <c r="G197" s="17">
        <v>26.32</v>
      </c>
      <c r="H197" s="17">
        <v>0.01</v>
      </c>
      <c r="I197" s="103">
        <v>1076.52</v>
      </c>
    </row>
    <row r="198" spans="2:9" x14ac:dyDescent="0.35">
      <c r="B198" s="58">
        <v>44835</v>
      </c>
      <c r="C198" s="4">
        <v>247.42</v>
      </c>
      <c r="D198" s="17">
        <v>478.09</v>
      </c>
      <c r="E198" s="17">
        <v>96.53</v>
      </c>
      <c r="F198" s="17">
        <v>237.49</v>
      </c>
      <c r="G198" s="17">
        <v>38.770000000000003</v>
      </c>
      <c r="H198" s="17">
        <v>0</v>
      </c>
      <c r="I198" s="103">
        <v>1098.3</v>
      </c>
    </row>
    <row r="199" spans="2:9" x14ac:dyDescent="0.35">
      <c r="B199" s="58">
        <v>44866</v>
      </c>
      <c r="C199" s="4">
        <v>233.02</v>
      </c>
      <c r="D199" s="17">
        <v>494.27</v>
      </c>
      <c r="E199" s="17">
        <v>123.62</v>
      </c>
      <c r="F199" s="17">
        <v>177.13</v>
      </c>
      <c r="G199" s="17">
        <v>38.81</v>
      </c>
      <c r="H199" s="17">
        <v>0.04</v>
      </c>
      <c r="I199" s="103">
        <v>1066.8900000000001</v>
      </c>
    </row>
    <row r="200" spans="2:9" x14ac:dyDescent="0.35">
      <c r="B200" s="58">
        <v>44896</v>
      </c>
      <c r="C200" s="4">
        <v>220.92</v>
      </c>
      <c r="D200" s="17">
        <v>540.79999999999995</v>
      </c>
      <c r="E200" s="17">
        <v>132.91999999999999</v>
      </c>
      <c r="F200" s="17">
        <v>139.35</v>
      </c>
      <c r="G200" s="17">
        <v>42.41</v>
      </c>
      <c r="H200" s="17">
        <v>0.02</v>
      </c>
      <c r="I200" s="103">
        <v>1076.42</v>
      </c>
    </row>
    <row r="201" spans="2:9" x14ac:dyDescent="0.35">
      <c r="B201" s="58">
        <v>44927</v>
      </c>
      <c r="C201" s="4">
        <v>185.2</v>
      </c>
      <c r="D201" s="17">
        <v>524.82000000000005</v>
      </c>
      <c r="E201" s="17">
        <v>107.32</v>
      </c>
      <c r="F201" s="17">
        <v>203.31</v>
      </c>
      <c r="G201" s="17">
        <v>46.69</v>
      </c>
      <c r="H201" s="17">
        <v>0.02</v>
      </c>
      <c r="I201" s="103">
        <v>1067.3599999999999</v>
      </c>
    </row>
    <row r="202" spans="2:9" x14ac:dyDescent="0.35">
      <c r="B202" s="58">
        <v>44958</v>
      </c>
      <c r="C202" s="4">
        <v>112.91</v>
      </c>
      <c r="D202" s="17">
        <v>472.15</v>
      </c>
      <c r="E202" s="17">
        <v>142.35</v>
      </c>
      <c r="F202" s="17">
        <v>190.65</v>
      </c>
      <c r="G202" s="17">
        <v>42.85</v>
      </c>
      <c r="H202" s="17">
        <v>0</v>
      </c>
      <c r="I202" s="37">
        <v>960.91</v>
      </c>
    </row>
    <row r="203" spans="2:9" x14ac:dyDescent="0.35">
      <c r="B203" s="58">
        <v>44986</v>
      </c>
      <c r="C203" s="4">
        <v>125.98</v>
      </c>
      <c r="D203" s="17">
        <v>509.36</v>
      </c>
      <c r="E203" s="17">
        <v>166.86</v>
      </c>
      <c r="F203" s="17">
        <v>152.35</v>
      </c>
      <c r="G203" s="17">
        <v>40.590000000000003</v>
      </c>
      <c r="H203" s="17">
        <v>0</v>
      </c>
      <c r="I203" s="37">
        <v>995.14</v>
      </c>
    </row>
    <row r="204" spans="2:9" x14ac:dyDescent="0.35">
      <c r="B204" s="58">
        <v>45017</v>
      </c>
      <c r="C204" s="4">
        <v>190.85</v>
      </c>
      <c r="D204" s="17">
        <v>476.33</v>
      </c>
      <c r="E204" s="17">
        <v>119.53</v>
      </c>
      <c r="F204" s="17">
        <v>157</v>
      </c>
      <c r="G204" s="17">
        <v>39.409999999999997</v>
      </c>
      <c r="H204" s="17">
        <v>0</v>
      </c>
      <c r="I204" s="37">
        <v>983.12</v>
      </c>
    </row>
    <row r="205" spans="2:9" x14ac:dyDescent="0.35">
      <c r="B205" s="58">
        <v>45047</v>
      </c>
      <c r="C205" s="4">
        <v>237.88</v>
      </c>
      <c r="D205" s="17">
        <v>510.83</v>
      </c>
      <c r="E205" s="17">
        <v>95.38</v>
      </c>
      <c r="F205" s="17">
        <v>181.72</v>
      </c>
      <c r="G205" s="17">
        <v>44.28</v>
      </c>
      <c r="H205" s="17">
        <v>0</v>
      </c>
      <c r="I205" s="103">
        <v>1070.0899999999999</v>
      </c>
    </row>
    <row r="206" spans="2:9" x14ac:dyDescent="0.35">
      <c r="B206" s="58">
        <v>45078</v>
      </c>
      <c r="C206" s="4">
        <v>257.94</v>
      </c>
      <c r="D206" s="17">
        <v>504.57</v>
      </c>
      <c r="E206" s="17">
        <v>68.13</v>
      </c>
      <c r="F206" s="17">
        <v>168.06</v>
      </c>
      <c r="G206" s="17">
        <v>36.659999999999997</v>
      </c>
      <c r="H206" s="17">
        <v>0</v>
      </c>
      <c r="I206" s="103">
        <v>1035.3599999999999</v>
      </c>
    </row>
    <row r="207" spans="2:9" x14ac:dyDescent="0.35">
      <c r="B207" s="58">
        <v>45108</v>
      </c>
      <c r="C207" s="4">
        <v>279.48</v>
      </c>
      <c r="D207" s="17">
        <v>494.81</v>
      </c>
      <c r="E207" s="17">
        <v>108.29</v>
      </c>
      <c r="F207" s="17">
        <v>198.46</v>
      </c>
      <c r="G207" s="17">
        <v>37.9</v>
      </c>
      <c r="H207" s="17">
        <v>0.04</v>
      </c>
      <c r="I207" s="103">
        <v>1118.98</v>
      </c>
    </row>
    <row r="208" spans="2:9" x14ac:dyDescent="0.35">
      <c r="B208" s="58">
        <v>45139</v>
      </c>
      <c r="C208" s="4">
        <v>258.70999999999998</v>
      </c>
      <c r="D208" s="17">
        <v>522.91999999999996</v>
      </c>
      <c r="E208" s="17">
        <v>89.58</v>
      </c>
      <c r="F208" s="17">
        <v>186.66</v>
      </c>
      <c r="G208" s="17">
        <v>40.85</v>
      </c>
      <c r="H208" s="17">
        <v>0.02</v>
      </c>
      <c r="I208" s="103">
        <v>1098.74</v>
      </c>
    </row>
    <row r="209" spans="2:9" x14ac:dyDescent="0.35">
      <c r="B209" s="58">
        <v>45170</v>
      </c>
      <c r="C209" s="4">
        <v>247.2</v>
      </c>
      <c r="D209" s="17">
        <v>511.88</v>
      </c>
      <c r="E209" s="17">
        <v>130.18</v>
      </c>
      <c r="F209" s="17">
        <v>141.30000000000001</v>
      </c>
      <c r="G209" s="17">
        <v>39.25</v>
      </c>
      <c r="H209" s="17">
        <v>0.03</v>
      </c>
      <c r="I209" s="103">
        <v>1069.8399999999999</v>
      </c>
    </row>
    <row r="210" spans="2:9" x14ac:dyDescent="0.35">
      <c r="B210" s="58">
        <v>45200</v>
      </c>
      <c r="C210" s="4">
        <v>205.28</v>
      </c>
      <c r="D210" s="17">
        <v>509.54</v>
      </c>
      <c r="E210" s="17">
        <v>140.57</v>
      </c>
      <c r="F210" s="17">
        <v>183.36</v>
      </c>
      <c r="G210" s="17">
        <v>42.87</v>
      </c>
      <c r="H210" s="17">
        <v>0.01</v>
      </c>
      <c r="I210" s="103">
        <v>1081.6199999999999</v>
      </c>
    </row>
    <row r="211" spans="2:9" x14ac:dyDescent="0.35">
      <c r="B211" s="58">
        <v>45231</v>
      </c>
      <c r="C211" s="4">
        <v>287.58</v>
      </c>
      <c r="D211" s="17">
        <v>495.19</v>
      </c>
      <c r="E211" s="17">
        <v>67.930000000000007</v>
      </c>
      <c r="F211" s="17">
        <v>159.76</v>
      </c>
      <c r="G211" s="17">
        <v>35.69</v>
      </c>
      <c r="H211" s="17">
        <v>0</v>
      </c>
      <c r="I211" s="103">
        <v>1046.1500000000001</v>
      </c>
    </row>
    <row r="212" spans="2:9" x14ac:dyDescent="0.35">
      <c r="B212" s="58">
        <v>45261</v>
      </c>
      <c r="C212" s="4">
        <v>273.64</v>
      </c>
      <c r="D212" s="17">
        <v>497.69</v>
      </c>
      <c r="E212" s="17">
        <v>69.55</v>
      </c>
      <c r="F212" s="17">
        <v>85.5</v>
      </c>
      <c r="G212" s="17">
        <v>44.44</v>
      </c>
      <c r="H212" s="17">
        <v>0</v>
      </c>
      <c r="I212" s="37">
        <v>970.83</v>
      </c>
    </row>
    <row r="213" spans="2:9" x14ac:dyDescent="0.35">
      <c r="B213" s="58">
        <v>45292</v>
      </c>
      <c r="C213" s="4">
        <v>254.51</v>
      </c>
      <c r="D213" s="17">
        <v>506.91</v>
      </c>
      <c r="E213" s="17">
        <v>90.65</v>
      </c>
      <c r="F213" s="17">
        <v>136.13</v>
      </c>
      <c r="G213" s="17">
        <v>38.28</v>
      </c>
      <c r="H213" s="17">
        <v>0</v>
      </c>
      <c r="I213" s="103">
        <v>1026.49</v>
      </c>
    </row>
    <row r="214" spans="2:9" x14ac:dyDescent="0.35">
      <c r="B214" s="58">
        <v>45323</v>
      </c>
      <c r="C214">
        <v>261.66000000000003</v>
      </c>
      <c r="D214">
        <v>446.76</v>
      </c>
      <c r="E214">
        <v>74.569999999999993</v>
      </c>
      <c r="F214">
        <v>156.13999999999999</v>
      </c>
      <c r="G214">
        <v>39.82</v>
      </c>
      <c r="H214">
        <v>0</v>
      </c>
      <c r="I214" s="148">
        <v>978.96</v>
      </c>
    </row>
    <row r="215" spans="2:9" x14ac:dyDescent="0.35">
      <c r="B215" s="58">
        <v>45352</v>
      </c>
      <c r="C215">
        <v>291.10000000000002</v>
      </c>
      <c r="D215">
        <v>442.68</v>
      </c>
      <c r="E215">
        <v>79.31</v>
      </c>
      <c r="F215">
        <v>198.72</v>
      </c>
      <c r="G215">
        <v>40.17</v>
      </c>
      <c r="H215">
        <v>0</v>
      </c>
      <c r="I215" s="149">
        <v>1051.98</v>
      </c>
    </row>
    <row r="216" spans="2:9" x14ac:dyDescent="0.35">
      <c r="B216" s="58">
        <v>45383</v>
      </c>
      <c r="C216">
        <v>362.38</v>
      </c>
      <c r="D216">
        <v>421.94</v>
      </c>
      <c r="E216">
        <v>93.47</v>
      </c>
      <c r="F216">
        <v>82.96</v>
      </c>
      <c r="G216">
        <v>37.04</v>
      </c>
      <c r="H216">
        <v>0.01</v>
      </c>
      <c r="I216" s="148">
        <v>997.79</v>
      </c>
    </row>
    <row r="217" spans="2:9" x14ac:dyDescent="0.35">
      <c r="B217" s="58">
        <v>45413</v>
      </c>
      <c r="C217">
        <v>349.21</v>
      </c>
      <c r="D217">
        <v>440.57</v>
      </c>
      <c r="E217">
        <v>99.43</v>
      </c>
      <c r="F217">
        <v>95.39</v>
      </c>
      <c r="G217">
        <v>38.92</v>
      </c>
      <c r="H217">
        <v>0</v>
      </c>
      <c r="I217" s="149">
        <v>1023.51</v>
      </c>
    </row>
    <row r="218" spans="2:9" x14ac:dyDescent="0.35">
      <c r="B218" s="58">
        <v>45444</v>
      </c>
      <c r="C218">
        <v>324.94</v>
      </c>
      <c r="D218">
        <v>416.81</v>
      </c>
      <c r="E218">
        <v>83.59</v>
      </c>
      <c r="F218">
        <v>156.41999999999999</v>
      </c>
      <c r="G218">
        <v>38.4</v>
      </c>
      <c r="H218">
        <v>0</v>
      </c>
      <c r="I218" s="149">
        <v>1020.15</v>
      </c>
    </row>
    <row r="219" spans="2:9" x14ac:dyDescent="0.35">
      <c r="B219" s="58">
        <v>45474</v>
      </c>
      <c r="C219">
        <v>358.23</v>
      </c>
      <c r="D219">
        <v>471.83</v>
      </c>
      <c r="E219">
        <v>102.77</v>
      </c>
      <c r="F219">
        <v>134.71</v>
      </c>
      <c r="G219">
        <v>31.34</v>
      </c>
      <c r="H219">
        <v>0</v>
      </c>
      <c r="I219" s="149">
        <v>1098.8900000000001</v>
      </c>
    </row>
    <row r="220" spans="2:9" x14ac:dyDescent="0.35">
      <c r="B220" s="58">
        <v>45505</v>
      </c>
      <c r="C220">
        <v>320.88</v>
      </c>
      <c r="D220">
        <v>483.33</v>
      </c>
      <c r="E220">
        <v>99.49</v>
      </c>
      <c r="F220">
        <v>158.06</v>
      </c>
      <c r="G220">
        <v>34.44</v>
      </c>
      <c r="H220">
        <v>0</v>
      </c>
      <c r="I220" s="149">
        <v>1096.21</v>
      </c>
    </row>
    <row r="221" spans="2:9" x14ac:dyDescent="0.35">
      <c r="B221" s="58">
        <v>45536</v>
      </c>
      <c r="C221">
        <v>270.95999999999998</v>
      </c>
      <c r="D221">
        <v>455.23</v>
      </c>
      <c r="E221">
        <v>92.3</v>
      </c>
      <c r="F221">
        <v>190.61</v>
      </c>
      <c r="G221">
        <v>36.42</v>
      </c>
      <c r="H221">
        <v>0</v>
      </c>
      <c r="I221" s="149">
        <v>1045.51</v>
      </c>
    </row>
    <row r="222" spans="2:9" x14ac:dyDescent="0.35">
      <c r="B222" s="58">
        <v>45566</v>
      </c>
      <c r="C222">
        <v>276.60000000000002</v>
      </c>
      <c r="D222">
        <v>493.29</v>
      </c>
      <c r="E222">
        <v>110.59</v>
      </c>
      <c r="F222">
        <v>182.34</v>
      </c>
      <c r="G222">
        <v>40.659999999999997</v>
      </c>
      <c r="H222">
        <v>0</v>
      </c>
      <c r="I222" s="149">
        <v>1103.49</v>
      </c>
    </row>
    <row r="223" spans="2:9" x14ac:dyDescent="0.35">
      <c r="B223" s="58">
        <v>45597</v>
      </c>
      <c r="C223">
        <v>273.92</v>
      </c>
      <c r="D223">
        <v>495.31</v>
      </c>
      <c r="E223">
        <v>99.86</v>
      </c>
      <c r="F223">
        <v>158.16</v>
      </c>
      <c r="G223">
        <v>40.08</v>
      </c>
      <c r="H223">
        <v>0</v>
      </c>
      <c r="I223" s="149">
        <v>1067.3399999999999</v>
      </c>
    </row>
    <row r="224" spans="2:9" x14ac:dyDescent="0.35">
      <c r="B224" s="58">
        <v>45627</v>
      </c>
      <c r="C224">
        <v>286.31</v>
      </c>
      <c r="D224">
        <v>465.33</v>
      </c>
      <c r="E224">
        <v>103.44</v>
      </c>
      <c r="F224">
        <v>148.03</v>
      </c>
      <c r="G224">
        <v>44.88</v>
      </c>
      <c r="H224">
        <v>0</v>
      </c>
      <c r="I224" s="149">
        <v>1047.99</v>
      </c>
    </row>
    <row r="225" spans="2:9" x14ac:dyDescent="0.35">
      <c r="B225" s="58">
        <v>45658</v>
      </c>
      <c r="C225">
        <v>282.66000000000003</v>
      </c>
      <c r="D225">
        <v>483.29</v>
      </c>
      <c r="E225">
        <v>115.2</v>
      </c>
      <c r="F225">
        <v>159.35</v>
      </c>
      <c r="G225">
        <v>44.63</v>
      </c>
      <c r="H225">
        <v>0</v>
      </c>
      <c r="I225" s="149">
        <v>1085.1400000000001</v>
      </c>
    </row>
    <row r="226" spans="2:9" x14ac:dyDescent="0.35">
      <c r="B226" s="58">
        <v>45689</v>
      </c>
      <c r="C226">
        <v>240.08</v>
      </c>
      <c r="D226">
        <v>415.08</v>
      </c>
      <c r="E226">
        <v>113.34</v>
      </c>
      <c r="F226">
        <v>194.41</v>
      </c>
      <c r="G226">
        <v>44.42</v>
      </c>
      <c r="H226">
        <v>0</v>
      </c>
      <c r="I226" s="149">
        <v>1007.33</v>
      </c>
    </row>
    <row r="227" spans="2:9" x14ac:dyDescent="0.35">
      <c r="B227" s="58">
        <v>45717</v>
      </c>
      <c r="C227">
        <v>274.27</v>
      </c>
      <c r="D227">
        <v>475.7</v>
      </c>
      <c r="E227">
        <v>154.21</v>
      </c>
      <c r="F227">
        <v>168.14</v>
      </c>
      <c r="G227">
        <v>43.97</v>
      </c>
      <c r="H227">
        <v>0</v>
      </c>
      <c r="I227" s="149">
        <v>1116.29</v>
      </c>
    </row>
    <row r="228" spans="2:9" x14ac:dyDescent="0.35">
      <c r="B228" s="58">
        <v>45748</v>
      </c>
      <c r="C228">
        <v>293.70999999999998</v>
      </c>
      <c r="D228">
        <v>479.65</v>
      </c>
      <c r="E228">
        <v>119.03</v>
      </c>
      <c r="F228">
        <v>142.38999999999999</v>
      </c>
      <c r="G228">
        <v>39.33</v>
      </c>
      <c r="H228">
        <v>0</v>
      </c>
      <c r="I228" s="149">
        <v>1074.1099999999999</v>
      </c>
    </row>
    <row r="229" spans="2:9" x14ac:dyDescent="0.35">
      <c r="B229" s="58">
        <v>45778</v>
      </c>
      <c r="C229">
        <v>338.77</v>
      </c>
      <c r="D229">
        <v>500.71</v>
      </c>
      <c r="E229">
        <v>130.85</v>
      </c>
      <c r="F229">
        <v>109.91</v>
      </c>
      <c r="G229">
        <v>38.229999999999997</v>
      </c>
      <c r="I229" s="149">
        <v>1118.46</v>
      </c>
    </row>
    <row r="230" spans="2:9" x14ac:dyDescent="0.35">
      <c r="B230" s="58">
        <v>45809</v>
      </c>
      <c r="C230">
        <v>287.08</v>
      </c>
      <c r="D230">
        <v>499.4</v>
      </c>
      <c r="E230">
        <v>94.53</v>
      </c>
      <c r="F230">
        <v>161.47</v>
      </c>
      <c r="G230">
        <v>34.909999999999997</v>
      </c>
      <c r="I230" s="149">
        <v>1077.3900000000001</v>
      </c>
    </row>
    <row r="231" spans="2:9" x14ac:dyDescent="0.35">
      <c r="B231" s="58">
        <v>45839</v>
      </c>
      <c r="C231">
        <v>320.73</v>
      </c>
      <c r="D231">
        <v>529.48</v>
      </c>
      <c r="E231">
        <v>108.31</v>
      </c>
      <c r="F231">
        <v>165.51</v>
      </c>
      <c r="G231">
        <v>33.75</v>
      </c>
      <c r="I231" s="149">
        <v>1157.79</v>
      </c>
    </row>
    <row r="232" spans="2:9" x14ac:dyDescent="0.35">
      <c r="B232" s="58">
        <v>45870</v>
      </c>
      <c r="C232">
        <v>296.01</v>
      </c>
      <c r="D232">
        <v>527.94000000000005</v>
      </c>
      <c r="E232">
        <v>134.43</v>
      </c>
      <c r="F232">
        <v>154.99</v>
      </c>
      <c r="G232">
        <v>33.15</v>
      </c>
      <c r="I232" s="149">
        <v>1146.52</v>
      </c>
    </row>
    <row r="233" spans="2:9" x14ac:dyDescent="0.35">
      <c r="B233" s="58">
        <v>45901</v>
      </c>
      <c r="C233">
        <v>263.77999999999997</v>
      </c>
      <c r="D233">
        <v>496.11</v>
      </c>
      <c r="E233">
        <v>137.24</v>
      </c>
      <c r="F233">
        <v>161.97</v>
      </c>
      <c r="G233">
        <v>39.020000000000003</v>
      </c>
      <c r="I233" s="149">
        <v>1098.1300000000001</v>
      </c>
    </row>
    <row r="234" spans="2:9" x14ac:dyDescent="0.35">
      <c r="B234" s="58">
        <v>45931</v>
      </c>
      <c r="C234">
        <v>285.48</v>
      </c>
      <c r="D234">
        <v>515.41</v>
      </c>
      <c r="E234">
        <v>141.19</v>
      </c>
      <c r="F234">
        <v>162.80000000000001</v>
      </c>
      <c r="G234">
        <v>39.659999999999997</v>
      </c>
      <c r="I234" s="149">
        <v>1144.55</v>
      </c>
    </row>
    <row r="235" spans="2:9" x14ac:dyDescent="0.35">
      <c r="B235" s="58">
        <v>45962</v>
      </c>
      <c r="C235">
        <v>280.95999999999998</v>
      </c>
      <c r="D235">
        <v>498.4</v>
      </c>
      <c r="E235">
        <v>111.55</v>
      </c>
      <c r="F235">
        <v>216.39</v>
      </c>
      <c r="G235">
        <v>43.38</v>
      </c>
      <c r="I235" s="149">
        <v>1150.67</v>
      </c>
    </row>
    <row r="236" spans="2:9" x14ac:dyDescent="0.35">
      <c r="B236" s="58">
        <v>45992</v>
      </c>
      <c r="C236">
        <v>298.72000000000003</v>
      </c>
      <c r="D236">
        <v>560.41</v>
      </c>
      <c r="E236">
        <v>120.36</v>
      </c>
      <c r="F236">
        <v>151.77000000000001</v>
      </c>
      <c r="G236">
        <v>38.93</v>
      </c>
      <c r="I236" s="149">
        <v>1170.19</v>
      </c>
    </row>
    <row r="237" spans="2:9" x14ac:dyDescent="0.35">
      <c r="B237" s="58"/>
      <c r="I237" s="149"/>
    </row>
    <row r="238" spans="2:9" x14ac:dyDescent="0.35">
      <c r="B238" s="58"/>
      <c r="I238" s="149"/>
    </row>
    <row r="239" spans="2:9" x14ac:dyDescent="0.35">
      <c r="B239" s="58"/>
      <c r="I239" s="149"/>
    </row>
    <row r="240" spans="2:9" x14ac:dyDescent="0.35">
      <c r="B240" s="58"/>
      <c r="I240" s="149"/>
    </row>
    <row r="241" spans="2:9" x14ac:dyDescent="0.35">
      <c r="B241" s="58"/>
      <c r="I241" s="149"/>
    </row>
    <row r="242" spans="2:9" x14ac:dyDescent="0.35">
      <c r="B242" s="58"/>
      <c r="I242" s="149"/>
    </row>
    <row r="243" spans="2:9" x14ac:dyDescent="0.35">
      <c r="B243" s="58"/>
      <c r="I243" s="149"/>
    </row>
    <row r="244" spans="2:9" x14ac:dyDescent="0.35">
      <c r="B244" s="58"/>
      <c r="I244" s="149"/>
    </row>
    <row r="245" spans="2:9" x14ac:dyDescent="0.35">
      <c r="B245" s="58"/>
      <c r="I245" s="149"/>
    </row>
    <row r="246" spans="2:9" x14ac:dyDescent="0.35">
      <c r="B246" s="58"/>
      <c r="I246" s="149"/>
    </row>
    <row r="247" spans="2:9" x14ac:dyDescent="0.35">
      <c r="B247" s="58"/>
      <c r="I247" s="149"/>
    </row>
    <row r="248" spans="2:9" x14ac:dyDescent="0.35">
      <c r="B248" s="58"/>
      <c r="I248" s="149"/>
    </row>
    <row r="249" spans="2:9" x14ac:dyDescent="0.35">
      <c r="B249" s="58"/>
      <c r="I249" s="149"/>
    </row>
    <row r="250" spans="2:9" x14ac:dyDescent="0.35">
      <c r="B250" s="58"/>
      <c r="I250" s="149"/>
    </row>
    <row r="251" spans="2:9" x14ac:dyDescent="0.35">
      <c r="B251" s="58"/>
      <c r="I251" s="149"/>
    </row>
    <row r="252" spans="2:9" x14ac:dyDescent="0.35">
      <c r="B252" s="58"/>
      <c r="I252" s="14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339B-F9EC-4DF2-90AF-FB2E23FA0863}">
  <dimension ref="B3:Y17"/>
  <sheetViews>
    <sheetView topLeftCell="D1" zoomScale="85" zoomScaleNormal="85" workbookViewId="0">
      <selection activeCell="W20" sqref="W20"/>
    </sheetView>
  </sheetViews>
  <sheetFormatPr defaultRowHeight="14.5" x14ac:dyDescent="0.35"/>
  <sheetData>
    <row r="3" spans="2:25" ht="15" thickBot="1" x14ac:dyDescent="0.4">
      <c r="B3" s="51" t="s">
        <v>45</v>
      </c>
      <c r="C3" s="52">
        <v>2003</v>
      </c>
      <c r="D3" s="16">
        <v>2004</v>
      </c>
      <c r="E3" s="52">
        <v>2005</v>
      </c>
      <c r="F3" s="16">
        <v>2006</v>
      </c>
      <c r="G3" s="52">
        <v>2007</v>
      </c>
      <c r="H3" s="16">
        <v>2008</v>
      </c>
      <c r="I3" s="52">
        <v>2009</v>
      </c>
      <c r="J3" s="16">
        <v>2010</v>
      </c>
      <c r="K3" s="52">
        <v>2011</v>
      </c>
      <c r="L3" s="16">
        <v>2012</v>
      </c>
      <c r="M3" s="52">
        <v>2013</v>
      </c>
      <c r="N3" s="16">
        <v>2014</v>
      </c>
      <c r="O3" s="52">
        <v>2015</v>
      </c>
      <c r="P3" s="16">
        <v>2016</v>
      </c>
      <c r="Q3" s="52">
        <v>2017</v>
      </c>
      <c r="R3" s="16">
        <v>2018</v>
      </c>
      <c r="S3" s="52">
        <v>2019</v>
      </c>
      <c r="T3" s="16">
        <v>2020</v>
      </c>
      <c r="U3" s="52">
        <v>2021</v>
      </c>
      <c r="V3" s="16">
        <v>2022</v>
      </c>
      <c r="W3" s="52">
        <v>2023</v>
      </c>
      <c r="X3" s="16">
        <v>2024</v>
      </c>
      <c r="Y3" s="16">
        <v>2025</v>
      </c>
    </row>
    <row r="4" spans="2:25" x14ac:dyDescent="0.35">
      <c r="B4" s="114" t="s">
        <v>12</v>
      </c>
      <c r="C4" s="115">
        <v>231</v>
      </c>
      <c r="D4" s="115">
        <v>377</v>
      </c>
      <c r="E4" s="115">
        <v>322</v>
      </c>
      <c r="F4" s="115">
        <v>360</v>
      </c>
      <c r="G4" s="115">
        <v>450</v>
      </c>
      <c r="H4" s="115">
        <v>468</v>
      </c>
      <c r="I4" s="115">
        <v>379</v>
      </c>
      <c r="J4" s="115">
        <v>299</v>
      </c>
      <c r="K4" s="115">
        <v>290</v>
      </c>
      <c r="L4" s="115">
        <v>387</v>
      </c>
      <c r="M4" s="115">
        <v>435</v>
      </c>
      <c r="N4" s="115">
        <v>511</v>
      </c>
      <c r="O4" s="115">
        <v>601</v>
      </c>
      <c r="P4" s="115">
        <v>363</v>
      </c>
      <c r="Q4" s="115">
        <v>276</v>
      </c>
      <c r="R4" s="115">
        <v>395</v>
      </c>
      <c r="S4" s="115">
        <v>431</v>
      </c>
      <c r="T4" s="115">
        <v>614</v>
      </c>
      <c r="U4" s="115">
        <v>560</v>
      </c>
      <c r="V4" s="115">
        <v>925</v>
      </c>
      <c r="W4" s="150">
        <v>1135</v>
      </c>
      <c r="X4" s="115">
        <v>844</v>
      </c>
      <c r="Y4" s="115">
        <v>921</v>
      </c>
    </row>
    <row r="5" spans="2:25" x14ac:dyDescent="0.35">
      <c r="B5" s="114" t="s">
        <v>13</v>
      </c>
      <c r="C5" s="115">
        <v>376</v>
      </c>
      <c r="D5" s="115">
        <v>506</v>
      </c>
      <c r="E5" s="115">
        <v>641</v>
      </c>
      <c r="F5" s="115">
        <v>411</v>
      </c>
      <c r="G5" s="115">
        <v>516</v>
      </c>
      <c r="H5" s="115">
        <v>592</v>
      </c>
      <c r="I5" s="115">
        <v>556</v>
      </c>
      <c r="J5" s="115">
        <v>521</v>
      </c>
      <c r="K5" s="115">
        <v>413</v>
      </c>
      <c r="L5" s="115">
        <v>588</v>
      </c>
      <c r="M5" s="115">
        <v>536</v>
      </c>
      <c r="N5" s="115">
        <v>792</v>
      </c>
      <c r="O5" s="115">
        <v>949</v>
      </c>
      <c r="P5" s="115">
        <v>587</v>
      </c>
      <c r="Q5" s="115">
        <v>578</v>
      </c>
      <c r="R5" s="115">
        <v>529</v>
      </c>
      <c r="S5" s="115">
        <v>614</v>
      </c>
      <c r="T5" s="115">
        <v>861</v>
      </c>
      <c r="U5" s="115">
        <v>565</v>
      </c>
      <c r="V5" s="115">
        <v>1263</v>
      </c>
      <c r="W5" s="115">
        <v>980</v>
      </c>
      <c r="X5" s="150">
        <v>1054</v>
      </c>
      <c r="Y5" s="150">
        <v>1316</v>
      </c>
    </row>
    <row r="6" spans="2:25" x14ac:dyDescent="0.35">
      <c r="B6" s="114" t="s">
        <v>14</v>
      </c>
      <c r="C6" s="115">
        <v>405</v>
      </c>
      <c r="D6" s="115">
        <v>544</v>
      </c>
      <c r="E6" s="115">
        <v>579</v>
      </c>
      <c r="F6" s="115">
        <v>461</v>
      </c>
      <c r="G6" s="115">
        <v>565</v>
      </c>
      <c r="H6" s="115">
        <v>388</v>
      </c>
      <c r="I6" s="115">
        <v>517</v>
      </c>
      <c r="J6" s="115">
        <v>510</v>
      </c>
      <c r="K6" s="115">
        <v>462</v>
      </c>
      <c r="L6" s="115">
        <v>303</v>
      </c>
      <c r="M6" s="115">
        <v>496</v>
      </c>
      <c r="N6" s="115">
        <v>737</v>
      </c>
      <c r="O6" s="115">
        <v>922</v>
      </c>
      <c r="P6" s="115">
        <v>650</v>
      </c>
      <c r="Q6" s="115">
        <v>645</v>
      </c>
      <c r="R6" s="115">
        <v>548</v>
      </c>
      <c r="S6" s="115">
        <v>633</v>
      </c>
      <c r="T6" s="115">
        <v>830</v>
      </c>
      <c r="U6" s="115">
        <v>705</v>
      </c>
      <c r="V6" s="115">
        <v>1245</v>
      </c>
      <c r="W6" s="150">
        <v>1214</v>
      </c>
      <c r="X6" s="150">
        <v>1107</v>
      </c>
      <c r="Y6" s="150">
        <v>1135</v>
      </c>
    </row>
    <row r="7" spans="2:25" x14ac:dyDescent="0.35">
      <c r="B7" s="114" t="s">
        <v>15</v>
      </c>
      <c r="C7" s="115">
        <v>398</v>
      </c>
      <c r="D7" s="115">
        <v>622</v>
      </c>
      <c r="E7" s="115">
        <v>553</v>
      </c>
      <c r="F7" s="115">
        <v>436</v>
      </c>
      <c r="G7" s="115">
        <v>532</v>
      </c>
      <c r="H7" s="115">
        <v>601</v>
      </c>
      <c r="I7" s="115">
        <v>494</v>
      </c>
      <c r="J7" s="115">
        <v>438</v>
      </c>
      <c r="K7" s="115">
        <v>449</v>
      </c>
      <c r="L7" s="115">
        <v>594</v>
      </c>
      <c r="M7" s="115">
        <v>584</v>
      </c>
      <c r="N7" s="115">
        <v>798</v>
      </c>
      <c r="O7" s="115">
        <v>813</v>
      </c>
      <c r="P7" s="115">
        <v>658</v>
      </c>
      <c r="Q7" s="115">
        <v>436</v>
      </c>
      <c r="R7" s="115">
        <v>409</v>
      </c>
      <c r="S7" s="115">
        <v>739</v>
      </c>
      <c r="T7" s="115">
        <v>669</v>
      </c>
      <c r="U7" s="115">
        <v>737</v>
      </c>
      <c r="V7" s="115">
        <v>1348</v>
      </c>
      <c r="W7" s="115">
        <v>972</v>
      </c>
      <c r="X7" s="115">
        <v>778</v>
      </c>
      <c r="Y7" s="150">
        <v>1014</v>
      </c>
    </row>
    <row r="8" spans="2:25" x14ac:dyDescent="0.35">
      <c r="B8" s="114" t="s">
        <v>16</v>
      </c>
      <c r="C8" s="115">
        <v>159</v>
      </c>
      <c r="D8" s="115">
        <v>625</v>
      </c>
      <c r="E8" s="115">
        <v>489</v>
      </c>
      <c r="F8" s="115">
        <v>486</v>
      </c>
      <c r="G8" s="115">
        <v>574</v>
      </c>
      <c r="H8" s="115">
        <v>575</v>
      </c>
      <c r="I8" s="115">
        <v>341</v>
      </c>
      <c r="J8" s="115">
        <v>521</v>
      </c>
      <c r="K8" s="115">
        <v>554</v>
      </c>
      <c r="L8" s="115">
        <v>654</v>
      </c>
      <c r="M8" s="115">
        <v>560</v>
      </c>
      <c r="N8" s="115">
        <v>832</v>
      </c>
      <c r="O8" s="115">
        <v>827</v>
      </c>
      <c r="P8" s="115">
        <v>642</v>
      </c>
      <c r="Q8" s="115">
        <v>434</v>
      </c>
      <c r="R8" s="115">
        <v>407</v>
      </c>
      <c r="S8" s="115">
        <v>732</v>
      </c>
      <c r="T8" s="115">
        <v>659</v>
      </c>
      <c r="U8" s="115">
        <v>609</v>
      </c>
      <c r="V8" s="115">
        <v>1483</v>
      </c>
      <c r="W8" s="150">
        <v>1258</v>
      </c>
      <c r="X8" s="115">
        <v>918</v>
      </c>
      <c r="Y8" s="115">
        <v>1285</v>
      </c>
    </row>
    <row r="9" spans="2:25" x14ac:dyDescent="0.35">
      <c r="B9" s="114" t="s">
        <v>11</v>
      </c>
      <c r="C9" s="115">
        <v>274</v>
      </c>
      <c r="D9" s="115">
        <v>592</v>
      </c>
      <c r="E9" s="115">
        <v>448</v>
      </c>
      <c r="F9" s="115">
        <v>399</v>
      </c>
      <c r="G9" s="115">
        <v>481</v>
      </c>
      <c r="H9" s="115">
        <v>487</v>
      </c>
      <c r="I9" s="115">
        <v>326</v>
      </c>
      <c r="J9" s="115">
        <v>550</v>
      </c>
      <c r="K9" s="115">
        <v>550</v>
      </c>
      <c r="L9" s="115">
        <v>588</v>
      </c>
      <c r="M9" s="115">
        <v>609</v>
      </c>
      <c r="N9" s="115">
        <v>856</v>
      </c>
      <c r="O9" s="115">
        <v>745</v>
      </c>
      <c r="P9" s="115">
        <v>482</v>
      </c>
      <c r="Q9" s="115">
        <v>323</v>
      </c>
      <c r="R9" s="115">
        <v>366</v>
      </c>
      <c r="S9" s="115">
        <v>556</v>
      </c>
      <c r="T9" s="115">
        <v>415</v>
      </c>
      <c r="U9" s="115">
        <v>576</v>
      </c>
      <c r="V9" s="115">
        <v>1186</v>
      </c>
      <c r="W9" s="150">
        <v>1123</v>
      </c>
      <c r="X9" s="150">
        <v>1077</v>
      </c>
      <c r="Y9" s="150">
        <v>1035</v>
      </c>
    </row>
    <row r="10" spans="2:25" x14ac:dyDescent="0.35">
      <c r="B10" s="114" t="s">
        <v>17</v>
      </c>
      <c r="C10" s="115">
        <v>392</v>
      </c>
      <c r="D10" s="115">
        <v>402</v>
      </c>
      <c r="E10" s="115">
        <v>507</v>
      </c>
      <c r="F10" s="115">
        <v>439</v>
      </c>
      <c r="G10" s="115">
        <v>456</v>
      </c>
      <c r="H10" s="115">
        <v>468</v>
      </c>
      <c r="I10" s="115">
        <v>482</v>
      </c>
      <c r="J10" s="115">
        <v>509</v>
      </c>
      <c r="K10" s="115">
        <v>524</v>
      </c>
      <c r="L10" s="115">
        <v>570</v>
      </c>
      <c r="M10" s="115">
        <v>617</v>
      </c>
      <c r="N10" s="115">
        <v>809</v>
      </c>
      <c r="O10" s="115">
        <v>757</v>
      </c>
      <c r="P10" s="115">
        <v>491</v>
      </c>
      <c r="Q10" s="115">
        <v>483</v>
      </c>
      <c r="R10" s="115">
        <v>587</v>
      </c>
      <c r="S10" s="115">
        <v>648</v>
      </c>
      <c r="T10" s="115">
        <v>735</v>
      </c>
      <c r="U10" s="115">
        <v>798</v>
      </c>
      <c r="V10" s="115">
        <v>1246</v>
      </c>
      <c r="W10" s="115">
        <v>832</v>
      </c>
      <c r="X10" s="150">
        <v>1194</v>
      </c>
      <c r="Y10" s="150">
        <v>1083</v>
      </c>
    </row>
    <row r="11" spans="2:25" x14ac:dyDescent="0.35">
      <c r="B11" s="114" t="s">
        <v>18</v>
      </c>
      <c r="C11" s="115">
        <v>342</v>
      </c>
      <c r="D11" s="115">
        <v>574</v>
      </c>
      <c r="E11" s="115">
        <v>439</v>
      </c>
      <c r="F11" s="115">
        <v>480</v>
      </c>
      <c r="G11" s="115">
        <v>589</v>
      </c>
      <c r="H11" s="115">
        <v>440</v>
      </c>
      <c r="I11" s="115">
        <v>388</v>
      </c>
      <c r="J11" s="115">
        <v>460</v>
      </c>
      <c r="K11" s="115">
        <v>553</v>
      </c>
      <c r="L11" s="115">
        <v>588</v>
      </c>
      <c r="M11" s="115">
        <v>578</v>
      </c>
      <c r="N11" s="115">
        <v>828</v>
      </c>
      <c r="O11" s="115">
        <v>931</v>
      </c>
      <c r="P11" s="115">
        <v>605</v>
      </c>
      <c r="Q11" s="115">
        <v>302</v>
      </c>
      <c r="R11" s="115">
        <v>434</v>
      </c>
      <c r="S11" s="115">
        <v>709</v>
      </c>
      <c r="T11" s="115">
        <v>595</v>
      </c>
      <c r="U11" s="115">
        <v>962</v>
      </c>
      <c r="V11" s="115">
        <v>1036</v>
      </c>
      <c r="W11" s="150">
        <v>1181</v>
      </c>
      <c r="X11" s="150">
        <v>1007</v>
      </c>
      <c r="Y11" s="150">
        <v>1090</v>
      </c>
    </row>
    <row r="12" spans="2:25" x14ac:dyDescent="0.35">
      <c r="B12" s="114" t="s">
        <v>19</v>
      </c>
      <c r="C12" s="115">
        <v>407</v>
      </c>
      <c r="D12" s="115">
        <v>490</v>
      </c>
      <c r="E12" s="115">
        <v>423</v>
      </c>
      <c r="F12" s="115">
        <v>477</v>
      </c>
      <c r="G12" s="115">
        <v>566</v>
      </c>
      <c r="H12" s="115">
        <v>488</v>
      </c>
      <c r="I12" s="115">
        <v>373</v>
      </c>
      <c r="J12" s="115">
        <v>461</v>
      </c>
      <c r="K12" s="115">
        <v>651</v>
      </c>
      <c r="L12" s="115">
        <v>597</v>
      </c>
      <c r="M12" s="115">
        <v>590</v>
      </c>
      <c r="N12" s="115">
        <v>886</v>
      </c>
      <c r="O12" s="115">
        <v>1029</v>
      </c>
      <c r="P12" s="115">
        <v>623</v>
      </c>
      <c r="Q12" s="115">
        <v>351</v>
      </c>
      <c r="R12" s="115">
        <v>606</v>
      </c>
      <c r="S12" s="115">
        <v>595</v>
      </c>
      <c r="T12" s="115">
        <v>591</v>
      </c>
      <c r="U12" s="115">
        <v>1173</v>
      </c>
      <c r="V12" s="115">
        <v>1320</v>
      </c>
      <c r="W12" s="150">
        <v>1262</v>
      </c>
      <c r="X12" s="150">
        <v>1061</v>
      </c>
      <c r="Y12" s="150">
        <v>1195</v>
      </c>
    </row>
    <row r="13" spans="2:25" x14ac:dyDescent="0.35">
      <c r="B13" s="114" t="s">
        <v>20</v>
      </c>
      <c r="C13" s="115">
        <v>376</v>
      </c>
      <c r="D13" s="115">
        <v>570</v>
      </c>
      <c r="E13" s="115">
        <v>341</v>
      </c>
      <c r="F13" s="115">
        <v>447</v>
      </c>
      <c r="G13" s="115">
        <v>718</v>
      </c>
      <c r="H13" s="115">
        <v>503</v>
      </c>
      <c r="I13" s="115">
        <v>391</v>
      </c>
      <c r="J13" s="115">
        <v>460</v>
      </c>
      <c r="K13" s="115">
        <v>660</v>
      </c>
      <c r="L13" s="115">
        <v>585</v>
      </c>
      <c r="M13" s="115">
        <v>652</v>
      </c>
      <c r="N13" s="115">
        <v>887</v>
      </c>
      <c r="O13" s="115">
        <v>1139</v>
      </c>
      <c r="P13" s="115">
        <v>357</v>
      </c>
      <c r="Q13" s="115">
        <v>370</v>
      </c>
      <c r="R13" s="115">
        <v>569</v>
      </c>
      <c r="S13" s="115">
        <v>728</v>
      </c>
      <c r="T13" s="115">
        <v>676</v>
      </c>
      <c r="U13" s="115">
        <v>1138</v>
      </c>
      <c r="V13" s="115">
        <v>1004</v>
      </c>
      <c r="W13" s="150">
        <v>1049</v>
      </c>
      <c r="X13" s="115">
        <v>978</v>
      </c>
      <c r="Y13" s="115">
        <v>1354</v>
      </c>
    </row>
    <row r="14" spans="2:25" x14ac:dyDescent="0.35">
      <c r="B14" s="114" t="s">
        <v>21</v>
      </c>
      <c r="C14" s="115">
        <v>377</v>
      </c>
      <c r="D14" s="115">
        <v>629</v>
      </c>
      <c r="E14" s="115">
        <v>322</v>
      </c>
      <c r="F14" s="115">
        <v>592</v>
      </c>
      <c r="G14" s="115">
        <v>658</v>
      </c>
      <c r="H14" s="115">
        <v>435</v>
      </c>
      <c r="I14" s="115">
        <v>464</v>
      </c>
      <c r="J14" s="115">
        <v>490</v>
      </c>
      <c r="K14" s="115">
        <v>594</v>
      </c>
      <c r="L14" s="115">
        <v>420</v>
      </c>
      <c r="M14" s="115">
        <v>733</v>
      </c>
      <c r="N14" s="115">
        <v>724</v>
      </c>
      <c r="O14" s="115">
        <v>972</v>
      </c>
      <c r="P14" s="115">
        <v>461</v>
      </c>
      <c r="Q14" s="115">
        <v>364</v>
      </c>
      <c r="R14" s="115">
        <v>476</v>
      </c>
      <c r="S14" s="115">
        <v>872</v>
      </c>
      <c r="T14" s="115">
        <v>533</v>
      </c>
      <c r="U14" s="115">
        <v>968</v>
      </c>
      <c r="V14" s="115">
        <v>798</v>
      </c>
      <c r="W14" s="150">
        <v>1387</v>
      </c>
      <c r="X14" s="115">
        <v>826</v>
      </c>
      <c r="Y14" s="115">
        <v>1089</v>
      </c>
    </row>
    <row r="15" spans="2:25" ht="15" thickBot="1" x14ac:dyDescent="0.4">
      <c r="B15" s="116" t="s">
        <v>22</v>
      </c>
      <c r="C15" s="117">
        <v>348</v>
      </c>
      <c r="D15" s="117">
        <v>503</v>
      </c>
      <c r="E15" s="117">
        <v>335</v>
      </c>
      <c r="F15" s="117">
        <v>392</v>
      </c>
      <c r="G15" s="117">
        <v>437</v>
      </c>
      <c r="H15" s="117">
        <v>302</v>
      </c>
      <c r="I15" s="117">
        <v>349</v>
      </c>
      <c r="J15" s="117">
        <v>502</v>
      </c>
      <c r="K15" s="117">
        <v>349</v>
      </c>
      <c r="L15" s="117">
        <v>344</v>
      </c>
      <c r="M15" s="117">
        <v>558</v>
      </c>
      <c r="N15" s="117">
        <v>586</v>
      </c>
      <c r="O15" s="117">
        <v>496</v>
      </c>
      <c r="P15" s="117">
        <v>376</v>
      </c>
      <c r="Q15" s="117">
        <v>322</v>
      </c>
      <c r="R15" s="117">
        <v>327</v>
      </c>
      <c r="S15" s="117">
        <v>545</v>
      </c>
      <c r="T15" s="117">
        <v>547</v>
      </c>
      <c r="U15" s="117">
        <v>1198</v>
      </c>
      <c r="V15" s="117">
        <v>619</v>
      </c>
      <c r="W15" s="151">
        <v>1134</v>
      </c>
      <c r="X15" s="117">
        <v>711</v>
      </c>
      <c r="Y15" s="117">
        <v>1174</v>
      </c>
    </row>
    <row r="16" spans="2:25" x14ac:dyDescent="0.3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2:25" ht="15" thickBot="1" x14ac:dyDescent="0.4">
      <c r="B17" s="13" t="s">
        <v>44</v>
      </c>
      <c r="C17" s="118">
        <v>4085</v>
      </c>
      <c r="D17" s="118">
        <v>6434</v>
      </c>
      <c r="E17" s="118">
        <v>5399</v>
      </c>
      <c r="F17" s="118">
        <v>5380</v>
      </c>
      <c r="G17" s="118">
        <v>6542</v>
      </c>
      <c r="H17" s="118">
        <v>5747</v>
      </c>
      <c r="I17" s="118">
        <v>5060</v>
      </c>
      <c r="J17" s="118">
        <v>5721</v>
      </c>
      <c r="K17" s="118">
        <v>6049</v>
      </c>
      <c r="L17" s="118">
        <v>6218</v>
      </c>
      <c r="M17" s="118">
        <v>6948</v>
      </c>
      <c r="N17" s="118">
        <v>9246</v>
      </c>
      <c r="O17" s="118">
        <v>10181</v>
      </c>
      <c r="P17" s="118">
        <v>6295</v>
      </c>
      <c r="Q17" s="118">
        <v>4884</v>
      </c>
      <c r="R17" s="118">
        <v>5653</v>
      </c>
      <c r="S17" s="118">
        <v>7802</v>
      </c>
      <c r="T17" s="118">
        <v>7725</v>
      </c>
      <c r="U17" s="118">
        <v>9989</v>
      </c>
      <c r="V17" s="118">
        <v>13473</v>
      </c>
      <c r="W17" s="118">
        <f>SUM(W4:W15)</f>
        <v>13527</v>
      </c>
      <c r="X17" s="118">
        <f>SUM(X4:X15)</f>
        <v>11555</v>
      </c>
      <c r="Y17" s="118">
        <f>SUM(Y4:Y15)</f>
        <v>13691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816E-483B-4EF8-9BBB-62707200620A}">
  <dimension ref="B2:N235"/>
  <sheetViews>
    <sheetView workbookViewId="0">
      <pane ySplit="2" topLeftCell="A216" activePane="bottomLeft" state="frozen"/>
      <selection pane="bottomLeft" activeCell="B222" sqref="B222:B231"/>
    </sheetView>
  </sheetViews>
  <sheetFormatPr defaultRowHeight="11.5" x14ac:dyDescent="0.25"/>
  <cols>
    <col min="1" max="1" width="8.7265625" style="1"/>
    <col min="2" max="2" width="6.90625" style="1" bestFit="1" customWidth="1"/>
    <col min="3" max="3" width="6.7265625" style="1" bestFit="1" customWidth="1"/>
    <col min="4" max="4" width="5.81640625" style="1" bestFit="1" customWidth="1"/>
    <col min="5" max="5" width="5.81640625" style="1" customWidth="1"/>
    <col min="6" max="6" width="13.08984375" style="1" bestFit="1" customWidth="1"/>
    <col min="7" max="7" width="6.81640625" style="1" bestFit="1" customWidth="1"/>
    <col min="8" max="16384" width="8.7265625" style="1"/>
  </cols>
  <sheetData>
    <row r="2" spans="2:6" x14ac:dyDescent="0.25">
      <c r="B2" s="122" t="s">
        <v>33</v>
      </c>
      <c r="C2" s="120" t="s">
        <v>57</v>
      </c>
      <c r="D2" s="120" t="s">
        <v>58</v>
      </c>
      <c r="E2" s="120" t="s">
        <v>172</v>
      </c>
      <c r="F2" s="121" t="s">
        <v>72</v>
      </c>
    </row>
    <row r="3" spans="2:6" x14ac:dyDescent="0.25">
      <c r="B3" s="58">
        <v>39022</v>
      </c>
      <c r="C3" s="119">
        <v>56698</v>
      </c>
      <c r="D3" s="119">
        <v>22864</v>
      </c>
      <c r="E3" s="119"/>
      <c r="F3" s="123">
        <v>79562</v>
      </c>
    </row>
    <row r="4" spans="2:6" x14ac:dyDescent="0.25">
      <c r="B4" s="58">
        <v>39052</v>
      </c>
      <c r="C4" s="119">
        <v>69207</v>
      </c>
      <c r="D4" s="119">
        <v>29795</v>
      </c>
      <c r="E4" s="119"/>
      <c r="F4" s="123">
        <v>99002</v>
      </c>
    </row>
    <row r="5" spans="2:6" x14ac:dyDescent="0.25">
      <c r="B5" s="58">
        <v>39083</v>
      </c>
      <c r="C5" s="119">
        <v>65949</v>
      </c>
      <c r="D5" s="119">
        <v>33653</v>
      </c>
      <c r="E5" s="119"/>
      <c r="F5" s="123">
        <v>99602</v>
      </c>
    </row>
    <row r="6" spans="2:6" x14ac:dyDescent="0.25">
      <c r="B6" s="58">
        <v>39114</v>
      </c>
      <c r="C6" s="119">
        <v>55787</v>
      </c>
      <c r="D6" s="119">
        <v>30940</v>
      </c>
      <c r="E6" s="119"/>
      <c r="F6" s="123">
        <v>86727</v>
      </c>
    </row>
    <row r="7" spans="2:6" x14ac:dyDescent="0.25">
      <c r="B7" s="58">
        <v>39142</v>
      </c>
      <c r="C7" s="119">
        <v>58924</v>
      </c>
      <c r="D7" s="119">
        <v>26933</v>
      </c>
      <c r="E7" s="119"/>
      <c r="F7" s="123">
        <v>85857</v>
      </c>
    </row>
    <row r="8" spans="2:6" x14ac:dyDescent="0.25">
      <c r="B8" s="58">
        <v>39173</v>
      </c>
      <c r="C8" s="119">
        <v>50960</v>
      </c>
      <c r="D8" s="119">
        <v>15282</v>
      </c>
      <c r="E8" s="119"/>
      <c r="F8" s="123">
        <v>66242</v>
      </c>
    </row>
    <row r="9" spans="2:6" x14ac:dyDescent="0.25">
      <c r="B9" s="58">
        <v>39203</v>
      </c>
      <c r="C9" s="119">
        <v>51647</v>
      </c>
      <c r="D9" s="119">
        <v>10287</v>
      </c>
      <c r="E9" s="119"/>
      <c r="F9" s="123">
        <v>61934</v>
      </c>
    </row>
    <row r="10" spans="2:6" x14ac:dyDescent="0.25">
      <c r="B10" s="58">
        <v>39234</v>
      </c>
      <c r="C10" s="119">
        <v>63877</v>
      </c>
      <c r="D10" s="119">
        <v>10967</v>
      </c>
      <c r="E10" s="119"/>
      <c r="F10" s="123">
        <v>74844</v>
      </c>
    </row>
    <row r="11" spans="2:6" x14ac:dyDescent="0.25">
      <c r="B11" s="58">
        <v>39264</v>
      </c>
      <c r="C11" s="119">
        <v>80025</v>
      </c>
      <c r="D11" s="119">
        <v>21963</v>
      </c>
      <c r="E11" s="119"/>
      <c r="F11" s="123">
        <v>101988</v>
      </c>
    </row>
    <row r="12" spans="2:6" x14ac:dyDescent="0.25">
      <c r="B12" s="58">
        <v>39295</v>
      </c>
      <c r="C12" s="119">
        <v>82487</v>
      </c>
      <c r="D12" s="119">
        <v>26916</v>
      </c>
      <c r="E12" s="119"/>
      <c r="F12" s="123">
        <v>109403</v>
      </c>
    </row>
    <row r="13" spans="2:6" x14ac:dyDescent="0.25">
      <c r="B13" s="58">
        <v>39326</v>
      </c>
      <c r="C13" s="119">
        <v>70160</v>
      </c>
      <c r="D13" s="119">
        <v>22810</v>
      </c>
      <c r="E13" s="119"/>
      <c r="F13" s="123">
        <v>92970</v>
      </c>
    </row>
    <row r="14" spans="2:6" x14ac:dyDescent="0.25">
      <c r="B14" s="58">
        <v>39356</v>
      </c>
      <c r="C14" s="119">
        <v>66954</v>
      </c>
      <c r="D14" s="119">
        <v>24127</v>
      </c>
      <c r="E14" s="119"/>
      <c r="F14" s="123">
        <v>91081</v>
      </c>
    </row>
    <row r="15" spans="2:6" x14ac:dyDescent="0.25">
      <c r="B15" s="58">
        <v>39387</v>
      </c>
      <c r="C15" s="119">
        <v>55701</v>
      </c>
      <c r="D15" s="119">
        <v>23210</v>
      </c>
      <c r="E15" s="119"/>
      <c r="F15" s="123">
        <v>78911</v>
      </c>
    </row>
    <row r="16" spans="2:6" x14ac:dyDescent="0.25">
      <c r="B16" s="58">
        <v>39417</v>
      </c>
      <c r="C16" s="119">
        <v>67126</v>
      </c>
      <c r="D16" s="119">
        <v>29210</v>
      </c>
      <c r="E16" s="119"/>
      <c r="F16" s="123">
        <v>96336</v>
      </c>
    </row>
    <row r="17" spans="2:6" x14ac:dyDescent="0.25">
      <c r="B17" s="58">
        <v>39448</v>
      </c>
      <c r="C17" s="119">
        <v>46464</v>
      </c>
      <c r="D17" s="119">
        <v>8906</v>
      </c>
      <c r="E17" s="119"/>
      <c r="F17" s="123">
        <v>55370</v>
      </c>
    </row>
    <row r="18" spans="2:6" x14ac:dyDescent="0.25">
      <c r="B18" s="58">
        <v>39479</v>
      </c>
      <c r="C18" s="119">
        <v>30231</v>
      </c>
      <c r="D18" s="119">
        <v>6739</v>
      </c>
      <c r="E18" s="119"/>
      <c r="F18" s="123">
        <v>36970</v>
      </c>
    </row>
    <row r="19" spans="2:6" x14ac:dyDescent="0.25">
      <c r="B19" s="58">
        <v>39508</v>
      </c>
      <c r="C19" s="119">
        <v>40770</v>
      </c>
      <c r="D19" s="119">
        <v>5106</v>
      </c>
      <c r="E19" s="119"/>
      <c r="F19" s="123">
        <v>45876</v>
      </c>
    </row>
    <row r="20" spans="2:6" x14ac:dyDescent="0.25">
      <c r="B20" s="58">
        <v>39539</v>
      </c>
      <c r="C20" s="119">
        <v>40686</v>
      </c>
      <c r="D20" s="119">
        <v>2063</v>
      </c>
      <c r="E20" s="119"/>
      <c r="F20" s="123">
        <v>42749</v>
      </c>
    </row>
    <row r="21" spans="2:6" x14ac:dyDescent="0.25">
      <c r="B21" s="58">
        <v>39569</v>
      </c>
      <c r="C21" s="119">
        <v>39812</v>
      </c>
      <c r="D21" s="119">
        <v>2760</v>
      </c>
      <c r="E21" s="119"/>
      <c r="F21" s="123">
        <v>42572</v>
      </c>
    </row>
    <row r="22" spans="2:6" x14ac:dyDescent="0.25">
      <c r="B22" s="58">
        <v>39600</v>
      </c>
      <c r="C22" s="119">
        <v>47224</v>
      </c>
      <c r="D22" s="119">
        <v>3059</v>
      </c>
      <c r="E22" s="119"/>
      <c r="F22" s="123">
        <v>50283</v>
      </c>
    </row>
    <row r="23" spans="2:6" x14ac:dyDescent="0.25">
      <c r="B23" s="58">
        <v>39630</v>
      </c>
      <c r="C23" s="119">
        <v>64208</v>
      </c>
      <c r="D23" s="119">
        <v>9311</v>
      </c>
      <c r="E23" s="119"/>
      <c r="F23" s="123">
        <v>73519</v>
      </c>
    </row>
    <row r="24" spans="2:6" x14ac:dyDescent="0.25">
      <c r="B24" s="58">
        <v>39661</v>
      </c>
      <c r="C24" s="119">
        <v>62890</v>
      </c>
      <c r="D24" s="119">
        <v>13081</v>
      </c>
      <c r="E24" s="119"/>
      <c r="F24" s="123">
        <v>75971</v>
      </c>
    </row>
    <row r="25" spans="2:6" x14ac:dyDescent="0.25">
      <c r="B25" s="58">
        <v>39692</v>
      </c>
      <c r="C25" s="119">
        <v>56026</v>
      </c>
      <c r="D25" s="119">
        <v>11136</v>
      </c>
      <c r="E25" s="119"/>
      <c r="F25" s="123">
        <v>67162</v>
      </c>
    </row>
    <row r="26" spans="2:6" x14ac:dyDescent="0.25">
      <c r="B26" s="58">
        <v>39722</v>
      </c>
      <c r="C26" s="119">
        <v>58504</v>
      </c>
      <c r="D26" s="119">
        <v>11260</v>
      </c>
      <c r="E26" s="119"/>
      <c r="F26" s="123">
        <v>69764</v>
      </c>
    </row>
    <row r="27" spans="2:6" x14ac:dyDescent="0.25">
      <c r="B27" s="58">
        <v>39753</v>
      </c>
      <c r="C27" s="119">
        <v>50224</v>
      </c>
      <c r="D27" s="119">
        <v>15369</v>
      </c>
      <c r="E27" s="119"/>
      <c r="F27" s="123">
        <v>65593</v>
      </c>
    </row>
    <row r="28" spans="2:6" x14ac:dyDescent="0.25">
      <c r="B28" s="58">
        <v>39783</v>
      </c>
      <c r="C28" s="119">
        <v>72657</v>
      </c>
      <c r="D28" s="119">
        <v>22398</v>
      </c>
      <c r="E28" s="119"/>
      <c r="F28" s="123">
        <v>95055</v>
      </c>
    </row>
    <row r="29" spans="2:6" x14ac:dyDescent="0.25">
      <c r="B29" s="58">
        <v>39814</v>
      </c>
      <c r="C29" s="119">
        <v>54167</v>
      </c>
      <c r="D29" s="119">
        <v>24315</v>
      </c>
      <c r="E29" s="119"/>
      <c r="F29" s="123">
        <v>78482</v>
      </c>
    </row>
    <row r="30" spans="2:6" x14ac:dyDescent="0.25">
      <c r="B30" s="58">
        <v>39845</v>
      </c>
      <c r="C30" s="119">
        <v>54503</v>
      </c>
      <c r="D30" s="119">
        <v>24542</v>
      </c>
      <c r="E30" s="119"/>
      <c r="F30" s="123">
        <v>79045</v>
      </c>
    </row>
    <row r="31" spans="2:6" x14ac:dyDescent="0.25">
      <c r="B31" s="58">
        <v>39873</v>
      </c>
      <c r="C31" s="119">
        <v>52320</v>
      </c>
      <c r="D31" s="119">
        <v>18866</v>
      </c>
      <c r="E31" s="119"/>
      <c r="F31" s="123">
        <v>71186</v>
      </c>
    </row>
    <row r="32" spans="2:6" x14ac:dyDescent="0.25">
      <c r="B32" s="58">
        <v>39904</v>
      </c>
      <c r="C32" s="119">
        <v>52458</v>
      </c>
      <c r="D32" s="119">
        <v>7026</v>
      </c>
      <c r="E32" s="119"/>
      <c r="F32" s="123">
        <v>59484</v>
      </c>
    </row>
    <row r="33" spans="2:6" x14ac:dyDescent="0.25">
      <c r="B33" s="58">
        <v>39934</v>
      </c>
      <c r="C33" s="119">
        <v>50941</v>
      </c>
      <c r="D33" s="119">
        <v>4181</v>
      </c>
      <c r="E33" s="119"/>
      <c r="F33" s="123">
        <v>55122</v>
      </c>
    </row>
    <row r="34" spans="2:6" x14ac:dyDescent="0.25">
      <c r="B34" s="58">
        <v>39965</v>
      </c>
      <c r="C34" s="119">
        <v>61946</v>
      </c>
      <c r="D34" s="119">
        <v>7113</v>
      </c>
      <c r="E34" s="119"/>
      <c r="F34" s="123">
        <v>69059</v>
      </c>
    </row>
    <row r="35" spans="2:6" x14ac:dyDescent="0.25">
      <c r="B35" s="58">
        <v>39995</v>
      </c>
      <c r="C35" s="119">
        <v>83972</v>
      </c>
      <c r="D35" s="119">
        <v>13689</v>
      </c>
      <c r="E35" s="119"/>
      <c r="F35" s="123">
        <v>97661</v>
      </c>
    </row>
    <row r="36" spans="2:6" x14ac:dyDescent="0.25">
      <c r="B36" s="58">
        <v>40026</v>
      </c>
      <c r="C36" s="119">
        <v>82658</v>
      </c>
      <c r="D36" s="119">
        <v>17656</v>
      </c>
      <c r="E36" s="119"/>
      <c r="F36" s="123">
        <v>100314</v>
      </c>
    </row>
    <row r="37" spans="2:6" x14ac:dyDescent="0.25">
      <c r="B37" s="58">
        <v>40057</v>
      </c>
      <c r="C37" s="119">
        <v>63288</v>
      </c>
      <c r="D37" s="119">
        <v>12734</v>
      </c>
      <c r="E37" s="119"/>
      <c r="F37" s="123">
        <v>76022</v>
      </c>
    </row>
    <row r="38" spans="2:6" x14ac:dyDescent="0.25">
      <c r="B38" s="58">
        <v>40087</v>
      </c>
      <c r="C38" s="119">
        <v>67951</v>
      </c>
      <c r="D38" s="119">
        <v>13229</v>
      </c>
      <c r="E38" s="119"/>
      <c r="F38" s="123">
        <v>81180</v>
      </c>
    </row>
    <row r="39" spans="2:6" x14ac:dyDescent="0.25">
      <c r="B39" s="58">
        <v>40118</v>
      </c>
      <c r="C39" s="119">
        <v>65030</v>
      </c>
      <c r="D39" s="119">
        <v>19027</v>
      </c>
      <c r="E39" s="119"/>
      <c r="F39" s="123">
        <v>84057</v>
      </c>
    </row>
    <row r="40" spans="2:6" x14ac:dyDescent="0.25">
      <c r="B40" s="58">
        <v>40148</v>
      </c>
      <c r="C40" s="119">
        <v>74682</v>
      </c>
      <c r="D40" s="119">
        <v>24579</v>
      </c>
      <c r="E40" s="119"/>
      <c r="F40" s="123">
        <v>99261</v>
      </c>
    </row>
    <row r="41" spans="2:6" x14ac:dyDescent="0.25">
      <c r="B41" s="58">
        <v>40179</v>
      </c>
      <c r="C41" s="119">
        <v>63734</v>
      </c>
      <c r="D41" s="119">
        <v>29580</v>
      </c>
      <c r="E41" s="119"/>
      <c r="F41" s="123">
        <v>93314</v>
      </c>
    </row>
    <row r="42" spans="2:6" x14ac:dyDescent="0.25">
      <c r="B42" s="58">
        <v>40210</v>
      </c>
      <c r="C42" s="119">
        <v>66562</v>
      </c>
      <c r="D42" s="119">
        <v>25392</v>
      </c>
      <c r="E42" s="119"/>
      <c r="F42" s="123">
        <v>91954</v>
      </c>
    </row>
    <row r="43" spans="2:6" x14ac:dyDescent="0.25">
      <c r="B43" s="58">
        <v>40238</v>
      </c>
      <c r="C43" s="119">
        <v>63975</v>
      </c>
      <c r="D43" s="119">
        <v>22673</v>
      </c>
      <c r="E43" s="119"/>
      <c r="F43" s="123">
        <v>86648</v>
      </c>
    </row>
    <row r="44" spans="2:6" x14ac:dyDescent="0.25">
      <c r="B44" s="58">
        <v>40269</v>
      </c>
      <c r="C44" s="119">
        <v>55739</v>
      </c>
      <c r="D44" s="119">
        <v>8016</v>
      </c>
      <c r="E44" s="119"/>
      <c r="F44" s="123">
        <v>63755</v>
      </c>
    </row>
    <row r="45" spans="2:6" x14ac:dyDescent="0.25">
      <c r="B45" s="58">
        <v>40299</v>
      </c>
      <c r="C45" s="119">
        <v>61175</v>
      </c>
      <c r="D45" s="119">
        <v>6642</v>
      </c>
      <c r="E45" s="119"/>
      <c r="F45" s="123">
        <v>67817</v>
      </c>
    </row>
    <row r="46" spans="2:6" x14ac:dyDescent="0.25">
      <c r="B46" s="58">
        <v>40330</v>
      </c>
      <c r="C46" s="119">
        <v>71077</v>
      </c>
      <c r="D46" s="119">
        <v>8395</v>
      </c>
      <c r="E46" s="119"/>
      <c r="F46" s="123">
        <v>79472</v>
      </c>
    </row>
    <row r="47" spans="2:6" x14ac:dyDescent="0.25">
      <c r="B47" s="58">
        <v>40360</v>
      </c>
      <c r="C47" s="119">
        <v>97920</v>
      </c>
      <c r="D47" s="119">
        <v>18839</v>
      </c>
      <c r="E47" s="119"/>
      <c r="F47" s="123">
        <v>116759</v>
      </c>
    </row>
    <row r="48" spans="2:6" x14ac:dyDescent="0.25">
      <c r="B48" s="58">
        <v>40391</v>
      </c>
      <c r="C48" s="119">
        <v>77471</v>
      </c>
      <c r="D48" s="119">
        <v>23993</v>
      </c>
      <c r="E48" s="119"/>
      <c r="F48" s="123">
        <v>101464</v>
      </c>
    </row>
    <row r="49" spans="2:6" x14ac:dyDescent="0.25">
      <c r="B49" s="58">
        <v>40422</v>
      </c>
      <c r="C49" s="119">
        <v>78300</v>
      </c>
      <c r="D49" s="119">
        <v>17281</v>
      </c>
      <c r="E49" s="119"/>
      <c r="F49" s="123">
        <v>95581</v>
      </c>
    </row>
    <row r="50" spans="2:6" x14ac:dyDescent="0.25">
      <c r="B50" s="58">
        <v>40452</v>
      </c>
      <c r="C50" s="119">
        <v>72600</v>
      </c>
      <c r="D50" s="119">
        <v>20526.5</v>
      </c>
      <c r="E50" s="119"/>
      <c r="F50" s="123">
        <v>93126.5</v>
      </c>
    </row>
    <row r="51" spans="2:6" x14ac:dyDescent="0.25">
      <c r="B51" s="58">
        <v>40483</v>
      </c>
      <c r="C51" s="119">
        <v>66900</v>
      </c>
      <c r="D51" s="119">
        <v>23772</v>
      </c>
      <c r="E51" s="119"/>
      <c r="F51" s="123">
        <v>90672</v>
      </c>
    </row>
    <row r="52" spans="2:6" x14ac:dyDescent="0.25">
      <c r="B52" s="58">
        <v>40513</v>
      </c>
      <c r="C52" s="119">
        <v>79568</v>
      </c>
      <c r="D52" s="119">
        <v>29346</v>
      </c>
      <c r="E52" s="119"/>
      <c r="F52" s="123">
        <v>108914</v>
      </c>
    </row>
    <row r="53" spans="2:6" x14ac:dyDescent="0.25">
      <c r="B53" s="58">
        <v>40544</v>
      </c>
      <c r="C53" s="119">
        <v>79142</v>
      </c>
      <c r="D53" s="119">
        <v>35770</v>
      </c>
      <c r="E53" s="119"/>
      <c r="F53" s="123">
        <v>114912</v>
      </c>
    </row>
    <row r="54" spans="2:6" x14ac:dyDescent="0.25">
      <c r="B54" s="58">
        <v>40575</v>
      </c>
      <c r="C54" s="119">
        <v>69221</v>
      </c>
      <c r="D54" s="119">
        <v>31211</v>
      </c>
      <c r="E54" s="119"/>
      <c r="F54" s="123">
        <v>100432</v>
      </c>
    </row>
    <row r="55" spans="2:6" x14ac:dyDescent="0.25">
      <c r="B55" s="58">
        <v>40603</v>
      </c>
      <c r="C55" s="119">
        <v>71734</v>
      </c>
      <c r="D55" s="119">
        <v>26027</v>
      </c>
      <c r="E55" s="119"/>
      <c r="F55" s="123">
        <v>97761</v>
      </c>
    </row>
    <row r="56" spans="2:6" x14ac:dyDescent="0.25">
      <c r="B56" s="58">
        <v>40634</v>
      </c>
      <c r="C56" s="119">
        <v>66276</v>
      </c>
      <c r="D56" s="119">
        <v>10181</v>
      </c>
      <c r="E56" s="119"/>
      <c r="F56" s="123">
        <v>76457</v>
      </c>
    </row>
    <row r="57" spans="2:6" x14ac:dyDescent="0.25">
      <c r="B57" s="58">
        <v>40664</v>
      </c>
      <c r="C57" s="119">
        <v>74148</v>
      </c>
      <c r="D57" s="119">
        <v>5167</v>
      </c>
      <c r="E57" s="119"/>
      <c r="F57" s="123">
        <v>79315</v>
      </c>
    </row>
    <row r="58" spans="2:6" x14ac:dyDescent="0.25">
      <c r="B58" s="58">
        <v>40695</v>
      </c>
      <c r="C58" s="119">
        <v>72944</v>
      </c>
      <c r="D58" s="119">
        <v>6676</v>
      </c>
      <c r="E58" s="119"/>
      <c r="F58" s="123">
        <v>79620</v>
      </c>
    </row>
    <row r="59" spans="2:6" x14ac:dyDescent="0.25">
      <c r="B59" s="58">
        <v>40725</v>
      </c>
      <c r="C59" s="119">
        <v>131519</v>
      </c>
      <c r="D59" s="119">
        <v>12037</v>
      </c>
      <c r="E59" s="119"/>
      <c r="F59" s="123">
        <v>143556</v>
      </c>
    </row>
    <row r="60" spans="2:6" x14ac:dyDescent="0.25">
      <c r="B60" s="58">
        <v>40756</v>
      </c>
      <c r="C60" s="119">
        <v>113438</v>
      </c>
      <c r="D60" s="119">
        <v>23402</v>
      </c>
      <c r="E60" s="119"/>
      <c r="F60" s="123">
        <v>136840</v>
      </c>
    </row>
    <row r="61" spans="2:6" x14ac:dyDescent="0.25">
      <c r="B61" s="58">
        <v>40787</v>
      </c>
      <c r="C61" s="119">
        <v>85397</v>
      </c>
      <c r="D61" s="119">
        <v>17317</v>
      </c>
      <c r="E61" s="119"/>
      <c r="F61" s="123">
        <v>102714</v>
      </c>
    </row>
    <row r="62" spans="2:6" x14ac:dyDescent="0.25">
      <c r="B62" s="58">
        <v>40817</v>
      </c>
      <c r="C62" s="119">
        <v>88918</v>
      </c>
      <c r="D62" s="119">
        <v>18741</v>
      </c>
      <c r="E62" s="119"/>
      <c r="F62" s="123">
        <v>107659</v>
      </c>
    </row>
    <row r="63" spans="2:6" x14ac:dyDescent="0.25">
      <c r="B63" s="58">
        <v>40848</v>
      </c>
      <c r="C63" s="119">
        <v>89394</v>
      </c>
      <c r="D63" s="119">
        <v>19641</v>
      </c>
      <c r="E63" s="119"/>
      <c r="F63" s="123">
        <v>109035</v>
      </c>
    </row>
    <row r="64" spans="2:6" x14ac:dyDescent="0.25">
      <c r="B64" s="58">
        <v>40878</v>
      </c>
      <c r="C64" s="119">
        <v>94355</v>
      </c>
      <c r="D64" s="119">
        <v>21624</v>
      </c>
      <c r="E64" s="119"/>
      <c r="F64" s="123">
        <v>115979</v>
      </c>
    </row>
    <row r="65" spans="2:6" x14ac:dyDescent="0.25">
      <c r="B65" s="58">
        <v>40909</v>
      </c>
      <c r="C65" s="119">
        <v>83450</v>
      </c>
      <c r="D65" s="119">
        <v>28134</v>
      </c>
      <c r="E65" s="119"/>
      <c r="F65" s="123">
        <v>111584</v>
      </c>
    </row>
    <row r="66" spans="2:6" x14ac:dyDescent="0.25">
      <c r="B66" s="58">
        <v>40940</v>
      </c>
      <c r="C66" s="119">
        <v>80405</v>
      </c>
      <c r="D66" s="119">
        <v>24636</v>
      </c>
      <c r="E66" s="119"/>
      <c r="F66" s="123">
        <v>105041</v>
      </c>
    </row>
    <row r="67" spans="2:6" x14ac:dyDescent="0.25">
      <c r="B67" s="58">
        <v>40969</v>
      </c>
      <c r="C67" s="119">
        <v>75668</v>
      </c>
      <c r="D67" s="119">
        <v>19965</v>
      </c>
      <c r="E67" s="119"/>
      <c r="F67" s="123">
        <v>95633</v>
      </c>
    </row>
    <row r="68" spans="2:6" x14ac:dyDescent="0.25">
      <c r="B68" s="58">
        <v>41000</v>
      </c>
      <c r="C68" s="119">
        <v>72023</v>
      </c>
      <c r="D68" s="119">
        <v>7531</v>
      </c>
      <c r="E68" s="119"/>
      <c r="F68" s="123">
        <v>79544</v>
      </c>
    </row>
    <row r="69" spans="2:6" x14ac:dyDescent="0.25">
      <c r="B69" s="58">
        <v>41030</v>
      </c>
      <c r="C69" s="119">
        <v>71287</v>
      </c>
      <c r="D69" s="119">
        <v>4830</v>
      </c>
      <c r="E69" s="119"/>
      <c r="F69" s="123">
        <v>76117</v>
      </c>
    </row>
    <row r="70" spans="2:6" x14ac:dyDescent="0.25">
      <c r="B70" s="58">
        <v>41061</v>
      </c>
      <c r="C70" s="119">
        <v>90972</v>
      </c>
      <c r="D70" s="119">
        <v>5934</v>
      </c>
      <c r="E70" s="119"/>
      <c r="F70" s="123">
        <v>96906</v>
      </c>
    </row>
    <row r="71" spans="2:6" x14ac:dyDescent="0.25">
      <c r="B71" s="58">
        <v>41091</v>
      </c>
      <c r="C71" s="119">
        <v>108136</v>
      </c>
      <c r="D71" s="119">
        <v>12671</v>
      </c>
      <c r="E71" s="119"/>
      <c r="F71" s="123">
        <v>112030</v>
      </c>
    </row>
    <row r="72" spans="2:6" x14ac:dyDescent="0.25">
      <c r="B72" s="58">
        <v>41122</v>
      </c>
      <c r="C72" s="119">
        <v>108869</v>
      </c>
      <c r="D72" s="119">
        <v>17771</v>
      </c>
      <c r="E72" s="119"/>
      <c r="F72" s="123">
        <v>126640</v>
      </c>
    </row>
    <row r="73" spans="2:6" x14ac:dyDescent="0.25">
      <c r="B73" s="58">
        <v>41153</v>
      </c>
      <c r="C73" s="119">
        <v>90153</v>
      </c>
      <c r="D73" s="119">
        <v>13312</v>
      </c>
      <c r="E73" s="119"/>
      <c r="F73" s="123">
        <v>103465</v>
      </c>
    </row>
    <row r="74" spans="2:6" x14ac:dyDescent="0.25">
      <c r="B74" s="58">
        <v>41183</v>
      </c>
      <c r="C74" s="119">
        <v>95911</v>
      </c>
      <c r="D74" s="119">
        <v>12942</v>
      </c>
      <c r="E74" s="119"/>
      <c r="F74" s="123">
        <v>108853</v>
      </c>
    </row>
    <row r="75" spans="2:6" x14ac:dyDescent="0.25">
      <c r="B75" s="58">
        <v>41214</v>
      </c>
      <c r="C75" s="119">
        <v>83122</v>
      </c>
      <c r="D75" s="119">
        <v>16135</v>
      </c>
      <c r="E75" s="119"/>
      <c r="F75" s="123">
        <v>99257</v>
      </c>
    </row>
    <row r="76" spans="2:6" x14ac:dyDescent="0.25">
      <c r="B76" s="58">
        <v>41244</v>
      </c>
      <c r="C76" s="119">
        <v>92365</v>
      </c>
      <c r="D76" s="119">
        <v>23290</v>
      </c>
      <c r="E76" s="119"/>
      <c r="F76" s="123">
        <v>115655</v>
      </c>
    </row>
    <row r="77" spans="2:6" x14ac:dyDescent="0.25">
      <c r="B77" s="58">
        <v>41275</v>
      </c>
      <c r="C77" s="119">
        <v>85538</v>
      </c>
      <c r="D77" s="119">
        <v>26446</v>
      </c>
      <c r="E77" s="119"/>
      <c r="F77" s="123">
        <v>111984</v>
      </c>
    </row>
    <row r="78" spans="2:6" x14ac:dyDescent="0.25">
      <c r="B78" s="58">
        <v>41306</v>
      </c>
      <c r="C78" s="119">
        <v>48970</v>
      </c>
      <c r="D78" s="119">
        <v>24031</v>
      </c>
      <c r="E78" s="119"/>
      <c r="F78" s="123">
        <v>73001</v>
      </c>
    </row>
    <row r="79" spans="2:6" x14ac:dyDescent="0.25">
      <c r="B79" s="58">
        <v>41334</v>
      </c>
      <c r="C79" s="119">
        <v>52103</v>
      </c>
      <c r="D79" s="119">
        <v>17850</v>
      </c>
      <c r="E79" s="119"/>
      <c r="F79" s="123">
        <v>69953</v>
      </c>
    </row>
    <row r="80" spans="2:6" x14ac:dyDescent="0.25">
      <c r="B80" s="58">
        <v>41365</v>
      </c>
      <c r="C80" s="119">
        <v>61685</v>
      </c>
      <c r="D80" s="119">
        <v>6739</v>
      </c>
      <c r="E80" s="119"/>
      <c r="F80" s="123">
        <v>68424</v>
      </c>
    </row>
    <row r="81" spans="2:6" x14ac:dyDescent="0.25">
      <c r="B81" s="58">
        <v>41395</v>
      </c>
      <c r="C81" s="119">
        <v>69751</v>
      </c>
      <c r="D81" s="119">
        <v>4772</v>
      </c>
      <c r="E81" s="119"/>
      <c r="F81" s="123">
        <v>74523</v>
      </c>
    </row>
    <row r="82" spans="2:6" x14ac:dyDescent="0.25">
      <c r="B82" s="58">
        <v>41426</v>
      </c>
      <c r="C82" s="119">
        <v>91083</v>
      </c>
      <c r="D82" s="119">
        <v>6692</v>
      </c>
      <c r="E82" s="119"/>
      <c r="F82" s="123">
        <v>97775</v>
      </c>
    </row>
    <row r="83" spans="2:6" x14ac:dyDescent="0.25">
      <c r="B83" s="58">
        <v>41456</v>
      </c>
      <c r="C83" s="119">
        <v>112332</v>
      </c>
      <c r="D83" s="119">
        <v>11480</v>
      </c>
      <c r="E83" s="119"/>
      <c r="F83" s="123">
        <v>123812</v>
      </c>
    </row>
    <row r="84" spans="2:6" x14ac:dyDescent="0.25">
      <c r="B84" s="58">
        <v>41487</v>
      </c>
      <c r="C84" s="119">
        <v>33749</v>
      </c>
      <c r="D84" s="119">
        <v>23334</v>
      </c>
      <c r="E84" s="119"/>
      <c r="F84" s="123">
        <v>57083</v>
      </c>
    </row>
    <row r="85" spans="2:6" x14ac:dyDescent="0.25">
      <c r="B85" s="58">
        <v>41518</v>
      </c>
      <c r="C85" s="119">
        <v>83986</v>
      </c>
      <c r="D85" s="119">
        <v>11721</v>
      </c>
      <c r="E85" s="119"/>
      <c r="F85" s="123">
        <v>95707</v>
      </c>
    </row>
    <row r="86" spans="2:6" x14ac:dyDescent="0.25">
      <c r="B86" s="58">
        <v>41548</v>
      </c>
      <c r="C86" s="119">
        <v>89045</v>
      </c>
      <c r="D86" s="119">
        <v>12362</v>
      </c>
      <c r="E86" s="119"/>
      <c r="F86" s="123">
        <v>101407</v>
      </c>
    </row>
    <row r="87" spans="2:6" x14ac:dyDescent="0.25">
      <c r="B87" s="58">
        <v>41579</v>
      </c>
      <c r="C87" s="119">
        <v>81242</v>
      </c>
      <c r="D87" s="119">
        <v>19068</v>
      </c>
      <c r="E87" s="119"/>
      <c r="F87" s="123">
        <v>100310</v>
      </c>
    </row>
    <row r="88" spans="2:6" x14ac:dyDescent="0.25">
      <c r="B88" s="58">
        <v>41609</v>
      </c>
      <c r="C88" s="119">
        <v>103514</v>
      </c>
      <c r="D88" s="119">
        <v>25159</v>
      </c>
      <c r="E88" s="119"/>
      <c r="F88" s="123">
        <v>128673</v>
      </c>
    </row>
    <row r="89" spans="2:6" x14ac:dyDescent="0.25">
      <c r="B89" s="58">
        <v>41640</v>
      </c>
      <c r="C89" s="119">
        <v>75906</v>
      </c>
      <c r="D89" s="119">
        <v>19853</v>
      </c>
      <c r="E89" s="119"/>
      <c r="F89" s="123">
        <v>95759</v>
      </c>
    </row>
    <row r="90" spans="2:6" x14ac:dyDescent="0.25">
      <c r="B90" s="58">
        <v>41671</v>
      </c>
      <c r="C90" s="119">
        <v>50270</v>
      </c>
      <c r="D90" s="119">
        <v>18334</v>
      </c>
      <c r="E90" s="119"/>
      <c r="F90" s="123">
        <v>68604</v>
      </c>
    </row>
    <row r="91" spans="2:6" x14ac:dyDescent="0.25">
      <c r="B91" s="58">
        <v>41699</v>
      </c>
      <c r="C91" s="119">
        <v>76561</v>
      </c>
      <c r="D91" s="119">
        <v>15041</v>
      </c>
      <c r="E91" s="119"/>
      <c r="F91" s="123">
        <v>91602</v>
      </c>
    </row>
    <row r="92" spans="2:6" x14ac:dyDescent="0.25">
      <c r="B92" s="58">
        <v>41730</v>
      </c>
      <c r="C92" s="119">
        <v>59357</v>
      </c>
      <c r="D92" s="119">
        <v>7293</v>
      </c>
      <c r="E92" s="119"/>
      <c r="F92" s="123">
        <v>66650</v>
      </c>
    </row>
    <row r="93" spans="2:6" x14ac:dyDescent="0.25">
      <c r="B93" s="58">
        <v>41760</v>
      </c>
      <c r="C93" s="119">
        <v>54334</v>
      </c>
      <c r="D93" s="119">
        <v>3967</v>
      </c>
      <c r="E93" s="119"/>
      <c r="F93" s="123">
        <v>58301</v>
      </c>
    </row>
    <row r="94" spans="2:6" x14ac:dyDescent="0.25">
      <c r="B94" s="58">
        <v>41791</v>
      </c>
      <c r="C94" s="119">
        <v>42549</v>
      </c>
      <c r="D94" s="119">
        <v>4758</v>
      </c>
      <c r="E94" s="119"/>
      <c r="F94" s="123">
        <v>47307</v>
      </c>
    </row>
    <row r="95" spans="2:6" x14ac:dyDescent="0.25">
      <c r="B95" s="58">
        <v>41821</v>
      </c>
      <c r="C95" s="119">
        <v>78902</v>
      </c>
      <c r="D95" s="119">
        <v>7764</v>
      </c>
      <c r="E95" s="119"/>
      <c r="F95" s="123">
        <v>86666</v>
      </c>
    </row>
    <row r="96" spans="2:6" x14ac:dyDescent="0.25">
      <c r="B96" s="58">
        <v>41852</v>
      </c>
      <c r="C96" s="119">
        <v>82465</v>
      </c>
      <c r="D96" s="119">
        <v>10962</v>
      </c>
      <c r="E96" s="119"/>
      <c r="F96" s="123">
        <v>93427</v>
      </c>
    </row>
    <row r="97" spans="2:6" x14ac:dyDescent="0.25">
      <c r="B97" s="58">
        <v>41883</v>
      </c>
      <c r="C97" s="119">
        <v>53743</v>
      </c>
      <c r="D97" s="119">
        <v>6778</v>
      </c>
      <c r="E97" s="119"/>
      <c r="F97" s="123">
        <v>60521</v>
      </c>
    </row>
    <row r="98" spans="2:6" x14ac:dyDescent="0.25">
      <c r="B98" s="58">
        <v>41913</v>
      </c>
      <c r="C98" s="119">
        <v>52606</v>
      </c>
      <c r="D98" s="119">
        <v>6323</v>
      </c>
      <c r="E98" s="119"/>
      <c r="F98" s="123">
        <v>58929</v>
      </c>
    </row>
    <row r="99" spans="2:6" x14ac:dyDescent="0.25">
      <c r="B99" s="58">
        <v>41944</v>
      </c>
      <c r="C99" s="119">
        <v>51480</v>
      </c>
      <c r="D99" s="119">
        <v>7153</v>
      </c>
      <c r="E99" s="119"/>
      <c r="F99" s="123">
        <v>58633</v>
      </c>
    </row>
    <row r="100" spans="2:6" x14ac:dyDescent="0.25">
      <c r="B100" s="58">
        <v>41974</v>
      </c>
      <c r="C100" s="119">
        <v>65427</v>
      </c>
      <c r="D100" s="119">
        <v>9570</v>
      </c>
      <c r="E100" s="119"/>
      <c r="F100" s="123">
        <v>74997</v>
      </c>
    </row>
    <row r="101" spans="2:6" x14ac:dyDescent="0.25">
      <c r="B101" s="58">
        <v>42005</v>
      </c>
      <c r="C101" s="119">
        <v>40846</v>
      </c>
      <c r="D101" s="119">
        <v>10107</v>
      </c>
      <c r="E101" s="119"/>
      <c r="F101" s="123">
        <v>50953</v>
      </c>
    </row>
    <row r="102" spans="2:6" x14ac:dyDescent="0.25">
      <c r="B102" s="58">
        <v>42036</v>
      </c>
      <c r="C102" s="119">
        <v>45171</v>
      </c>
      <c r="D102" s="119">
        <v>7882</v>
      </c>
      <c r="E102" s="119"/>
      <c r="F102" s="123">
        <v>53053</v>
      </c>
    </row>
    <row r="103" spans="2:6" x14ac:dyDescent="0.25">
      <c r="B103" s="58">
        <v>42064</v>
      </c>
      <c r="C103" s="119">
        <v>66121</v>
      </c>
      <c r="D103" s="119">
        <v>6958</v>
      </c>
      <c r="E103" s="119"/>
      <c r="F103" s="123">
        <v>73079</v>
      </c>
    </row>
    <row r="104" spans="2:6" x14ac:dyDescent="0.25">
      <c r="B104" s="58">
        <v>42095</v>
      </c>
      <c r="C104" s="119">
        <v>49933</v>
      </c>
      <c r="D104" s="119">
        <v>4020</v>
      </c>
      <c r="E104" s="119"/>
      <c r="F104" s="123">
        <v>53953</v>
      </c>
    </row>
    <row r="105" spans="2:6" x14ac:dyDescent="0.25">
      <c r="B105" s="58">
        <v>42125</v>
      </c>
      <c r="C105" s="119">
        <v>50764</v>
      </c>
      <c r="D105" s="119">
        <v>2511</v>
      </c>
      <c r="E105" s="119"/>
      <c r="F105" s="123">
        <v>53275</v>
      </c>
    </row>
    <row r="106" spans="2:6" x14ac:dyDescent="0.25">
      <c r="B106" s="58">
        <v>42156</v>
      </c>
      <c r="C106" s="119">
        <v>59867</v>
      </c>
      <c r="D106" s="119">
        <v>3279</v>
      </c>
      <c r="E106" s="119"/>
      <c r="F106" s="123">
        <v>63146</v>
      </c>
    </row>
    <row r="107" spans="2:6" x14ac:dyDescent="0.25">
      <c r="B107" s="58">
        <v>42186</v>
      </c>
      <c r="C107" s="119">
        <v>72515</v>
      </c>
      <c r="D107" s="119">
        <v>5728</v>
      </c>
      <c r="E107" s="119"/>
      <c r="F107" s="123">
        <v>78243</v>
      </c>
    </row>
    <row r="108" spans="2:6" x14ac:dyDescent="0.25">
      <c r="B108" s="58">
        <v>42217</v>
      </c>
      <c r="C108" s="119">
        <v>63332</v>
      </c>
      <c r="D108" s="119">
        <v>7546</v>
      </c>
      <c r="E108" s="119"/>
      <c r="F108" s="123">
        <v>70878</v>
      </c>
    </row>
    <row r="109" spans="2:6" x14ac:dyDescent="0.25">
      <c r="B109" s="58">
        <v>42248</v>
      </c>
      <c r="C109" s="119">
        <v>54162</v>
      </c>
      <c r="D109" s="119">
        <v>5114</v>
      </c>
      <c r="E109" s="119"/>
      <c r="F109" s="123">
        <v>59276</v>
      </c>
    </row>
    <row r="110" spans="2:6" x14ac:dyDescent="0.25">
      <c r="B110" s="58">
        <v>42278</v>
      </c>
      <c r="C110" s="119">
        <v>66441</v>
      </c>
      <c r="D110" s="119">
        <v>6049</v>
      </c>
      <c r="E110" s="119"/>
      <c r="F110" s="123">
        <v>72490</v>
      </c>
    </row>
    <row r="111" spans="2:6" x14ac:dyDescent="0.25">
      <c r="B111" s="58">
        <v>42309</v>
      </c>
      <c r="C111" s="119">
        <v>53622</v>
      </c>
      <c r="D111" s="119">
        <v>7718</v>
      </c>
      <c r="E111" s="119"/>
      <c r="F111" s="123">
        <v>61340</v>
      </c>
    </row>
    <row r="112" spans="2:6" x14ac:dyDescent="0.25">
      <c r="B112" s="58">
        <v>42339</v>
      </c>
      <c r="C112" s="119">
        <v>50015</v>
      </c>
      <c r="D112" s="119">
        <v>9070</v>
      </c>
      <c r="E112" s="119"/>
      <c r="F112" s="123">
        <v>59085</v>
      </c>
    </row>
    <row r="113" spans="2:6" x14ac:dyDescent="0.25">
      <c r="B113" s="58">
        <v>42370</v>
      </c>
      <c r="C113" s="119">
        <v>65431</v>
      </c>
      <c r="D113" s="119">
        <v>9407</v>
      </c>
      <c r="E113" s="119"/>
      <c r="F113" s="123">
        <v>74838</v>
      </c>
    </row>
    <row r="114" spans="2:6" x14ac:dyDescent="0.25">
      <c r="B114" s="58">
        <v>42401</v>
      </c>
      <c r="C114" s="119">
        <v>62856</v>
      </c>
      <c r="D114" s="119">
        <v>9983</v>
      </c>
      <c r="E114" s="119"/>
      <c r="F114" s="123">
        <v>72839</v>
      </c>
    </row>
    <row r="115" spans="2:6" x14ac:dyDescent="0.25">
      <c r="B115" s="58">
        <v>42430</v>
      </c>
      <c r="C115" s="119">
        <v>49996</v>
      </c>
      <c r="D115" s="119">
        <v>8551</v>
      </c>
      <c r="E115" s="119"/>
      <c r="F115" s="123">
        <v>58547</v>
      </c>
    </row>
    <row r="116" spans="2:6" x14ac:dyDescent="0.25">
      <c r="B116" s="58">
        <v>42461</v>
      </c>
      <c r="C116" s="119">
        <v>51311</v>
      </c>
      <c r="D116" s="119">
        <v>3869</v>
      </c>
      <c r="E116" s="119"/>
      <c r="F116" s="123">
        <v>55180</v>
      </c>
    </row>
    <row r="117" spans="2:6" x14ac:dyDescent="0.25">
      <c r="B117" s="58">
        <v>42491</v>
      </c>
      <c r="C117" s="119">
        <v>59294</v>
      </c>
      <c r="D117" s="119">
        <v>3578</v>
      </c>
      <c r="E117" s="119"/>
      <c r="F117" s="123">
        <v>62872</v>
      </c>
    </row>
    <row r="118" spans="2:6" x14ac:dyDescent="0.25">
      <c r="B118" s="58">
        <v>42522</v>
      </c>
      <c r="C118" s="119">
        <v>64451</v>
      </c>
      <c r="D118" s="119">
        <v>4182</v>
      </c>
      <c r="E118" s="119"/>
      <c r="F118" s="123">
        <v>68633</v>
      </c>
    </row>
    <row r="119" spans="2:6" x14ac:dyDescent="0.25">
      <c r="B119" s="58">
        <v>42552</v>
      </c>
      <c r="C119" s="119">
        <v>81729</v>
      </c>
      <c r="D119" s="119">
        <v>7832</v>
      </c>
      <c r="E119" s="119"/>
      <c r="F119" s="123">
        <v>89561</v>
      </c>
    </row>
    <row r="120" spans="2:6" x14ac:dyDescent="0.25">
      <c r="B120" s="58">
        <v>42583</v>
      </c>
      <c r="C120" s="119">
        <v>87141</v>
      </c>
      <c r="D120" s="119">
        <v>9817</v>
      </c>
      <c r="E120" s="119"/>
      <c r="F120" s="123">
        <v>96958</v>
      </c>
    </row>
    <row r="121" spans="2:6" x14ac:dyDescent="0.25">
      <c r="B121" s="58">
        <v>42614</v>
      </c>
      <c r="C121" s="119">
        <v>67249</v>
      </c>
      <c r="D121" s="119">
        <v>8381</v>
      </c>
      <c r="E121" s="119"/>
      <c r="F121" s="123">
        <v>75630</v>
      </c>
    </row>
    <row r="122" spans="2:6" x14ac:dyDescent="0.25">
      <c r="B122" s="58">
        <v>42644</v>
      </c>
      <c r="C122" s="119">
        <v>63229</v>
      </c>
      <c r="D122" s="119">
        <v>9015</v>
      </c>
      <c r="E122" s="119"/>
      <c r="F122" s="123">
        <v>72244</v>
      </c>
    </row>
    <row r="123" spans="2:6" x14ac:dyDescent="0.25">
      <c r="B123" s="58">
        <v>42675</v>
      </c>
      <c r="C123" s="119">
        <v>61224</v>
      </c>
      <c r="D123" s="119">
        <v>7990</v>
      </c>
      <c r="E123" s="119"/>
      <c r="F123" s="123">
        <v>69214</v>
      </c>
    </row>
    <row r="124" spans="2:6" x14ac:dyDescent="0.25">
      <c r="B124" s="58">
        <v>42705</v>
      </c>
      <c r="C124" s="119">
        <v>67602</v>
      </c>
      <c r="D124" s="119">
        <v>10267</v>
      </c>
      <c r="E124" s="119"/>
      <c r="F124" s="123">
        <v>77869</v>
      </c>
    </row>
    <row r="125" spans="2:6" x14ac:dyDescent="0.25">
      <c r="B125" s="58">
        <v>42736</v>
      </c>
      <c r="C125" s="119">
        <v>67053</v>
      </c>
      <c r="D125" s="119">
        <v>12637</v>
      </c>
      <c r="E125" s="119"/>
      <c r="F125" s="123">
        <v>79690</v>
      </c>
    </row>
    <row r="126" spans="2:6" x14ac:dyDescent="0.25">
      <c r="B126" s="58">
        <v>42767</v>
      </c>
      <c r="C126" s="119">
        <v>62119</v>
      </c>
      <c r="D126" s="119">
        <v>10611</v>
      </c>
      <c r="E126" s="119"/>
      <c r="F126" s="123">
        <v>72730</v>
      </c>
    </row>
    <row r="127" spans="2:6" x14ac:dyDescent="0.25">
      <c r="B127" s="58">
        <v>42795</v>
      </c>
      <c r="C127" s="119">
        <v>63568</v>
      </c>
      <c r="D127" s="119">
        <v>8382</v>
      </c>
      <c r="E127" s="119"/>
      <c r="F127" s="123">
        <v>71950</v>
      </c>
    </row>
    <row r="128" spans="2:6" x14ac:dyDescent="0.25">
      <c r="B128" s="58">
        <v>42826</v>
      </c>
      <c r="C128" s="119">
        <v>62982</v>
      </c>
      <c r="D128" s="119">
        <v>4102</v>
      </c>
      <c r="E128" s="119"/>
      <c r="F128" s="123">
        <v>67084</v>
      </c>
    </row>
    <row r="129" spans="2:6" x14ac:dyDescent="0.25">
      <c r="B129" s="58">
        <v>42856</v>
      </c>
      <c r="C129" s="119">
        <v>64866</v>
      </c>
      <c r="D129" s="119">
        <v>2665</v>
      </c>
      <c r="E129" s="119"/>
      <c r="F129" s="123">
        <v>67531</v>
      </c>
    </row>
    <row r="130" spans="2:6" x14ac:dyDescent="0.25">
      <c r="B130" s="58">
        <v>42887</v>
      </c>
      <c r="C130" s="119">
        <v>74194</v>
      </c>
      <c r="D130" s="119">
        <v>4734</v>
      </c>
      <c r="E130" s="119"/>
      <c r="F130" s="123">
        <v>78928</v>
      </c>
    </row>
    <row r="131" spans="2:6" x14ac:dyDescent="0.25">
      <c r="B131" s="58">
        <v>42917</v>
      </c>
      <c r="C131" s="119">
        <v>97955</v>
      </c>
      <c r="D131" s="119">
        <v>7286</v>
      </c>
      <c r="E131" s="119"/>
      <c r="F131" s="123">
        <v>105241</v>
      </c>
    </row>
    <row r="132" spans="2:6" x14ac:dyDescent="0.25">
      <c r="B132" s="58">
        <v>42948</v>
      </c>
      <c r="C132" s="119">
        <v>79053</v>
      </c>
      <c r="D132" s="119">
        <v>10729</v>
      </c>
      <c r="E132" s="119"/>
      <c r="F132" s="123">
        <v>89782</v>
      </c>
    </row>
    <row r="133" spans="2:6" x14ac:dyDescent="0.25">
      <c r="B133" s="58">
        <v>42979</v>
      </c>
      <c r="C133" s="119">
        <v>78329</v>
      </c>
      <c r="D133" s="119">
        <v>9111</v>
      </c>
      <c r="E133" s="119"/>
      <c r="F133" s="123">
        <v>87440</v>
      </c>
    </row>
    <row r="134" spans="2:6" x14ac:dyDescent="0.25">
      <c r="B134" s="58">
        <v>43009</v>
      </c>
      <c r="C134" s="119">
        <v>57034</v>
      </c>
      <c r="D134" s="119">
        <v>7557</v>
      </c>
      <c r="E134" s="119"/>
      <c r="F134" s="123">
        <v>64591</v>
      </c>
    </row>
    <row r="135" spans="2:6" x14ac:dyDescent="0.25">
      <c r="B135" s="58">
        <v>43040</v>
      </c>
      <c r="C135" s="119">
        <v>61617</v>
      </c>
      <c r="D135" s="119">
        <v>10956</v>
      </c>
      <c r="E135" s="119"/>
      <c r="F135" s="123">
        <v>72573</v>
      </c>
    </row>
    <row r="136" spans="2:6" x14ac:dyDescent="0.25">
      <c r="B136" s="58">
        <v>43070</v>
      </c>
      <c r="C136" s="119">
        <v>90745</v>
      </c>
      <c r="D136" s="119">
        <v>15117</v>
      </c>
      <c r="E136" s="119"/>
      <c r="F136" s="123">
        <v>105862</v>
      </c>
    </row>
    <row r="137" spans="2:6" x14ac:dyDescent="0.25">
      <c r="B137" s="58">
        <v>43101</v>
      </c>
      <c r="C137" s="119">
        <v>105262</v>
      </c>
      <c r="D137" s="119">
        <v>14533</v>
      </c>
      <c r="E137" s="119"/>
      <c r="F137" s="123">
        <v>119795</v>
      </c>
    </row>
    <row r="138" spans="2:6" x14ac:dyDescent="0.25">
      <c r="B138" s="58">
        <v>43132</v>
      </c>
      <c r="C138" s="119">
        <v>98532</v>
      </c>
      <c r="D138" s="119">
        <v>12792</v>
      </c>
      <c r="E138" s="119"/>
      <c r="F138" s="123">
        <v>111324</v>
      </c>
    </row>
    <row r="139" spans="2:6" x14ac:dyDescent="0.25">
      <c r="B139" s="58">
        <v>43160</v>
      </c>
      <c r="C139" s="119">
        <v>100441</v>
      </c>
      <c r="D139" s="119">
        <v>11024</v>
      </c>
      <c r="E139" s="119"/>
      <c r="F139" s="123">
        <v>111465</v>
      </c>
    </row>
    <row r="140" spans="2:6" x14ac:dyDescent="0.25">
      <c r="B140" s="58">
        <v>43191</v>
      </c>
      <c r="C140" s="119">
        <v>94236</v>
      </c>
      <c r="D140" s="119">
        <v>5205</v>
      </c>
      <c r="E140" s="119"/>
      <c r="F140" s="123">
        <v>99441</v>
      </c>
    </row>
    <row r="141" spans="2:6" x14ac:dyDescent="0.25">
      <c r="B141" s="58">
        <v>43221</v>
      </c>
      <c r="C141" s="119">
        <v>93730</v>
      </c>
      <c r="D141" s="119">
        <v>4735</v>
      </c>
      <c r="E141" s="119"/>
      <c r="F141" s="123">
        <v>98465</v>
      </c>
    </row>
    <row r="142" spans="2:6" x14ac:dyDescent="0.25">
      <c r="B142" s="58">
        <v>43252</v>
      </c>
      <c r="C142" s="119">
        <v>114097</v>
      </c>
      <c r="D142" s="119">
        <v>5157</v>
      </c>
      <c r="E142" s="119"/>
      <c r="F142" s="123">
        <v>119254</v>
      </c>
    </row>
    <row r="143" spans="2:6" x14ac:dyDescent="0.25">
      <c r="B143" s="58">
        <v>43282</v>
      </c>
      <c r="C143" s="119">
        <v>141763</v>
      </c>
      <c r="D143" s="119">
        <v>9025</v>
      </c>
      <c r="E143" s="119"/>
      <c r="F143" s="123">
        <v>150788</v>
      </c>
    </row>
    <row r="144" spans="2:6" x14ac:dyDescent="0.25">
      <c r="B144" s="58">
        <v>43313</v>
      </c>
      <c r="C144" s="119">
        <v>145231</v>
      </c>
      <c r="D144" s="119">
        <v>9589</v>
      </c>
      <c r="E144" s="119"/>
      <c r="F144" s="123">
        <v>154820</v>
      </c>
    </row>
    <row r="145" spans="2:6" x14ac:dyDescent="0.25">
      <c r="B145" s="58">
        <v>43344</v>
      </c>
      <c r="C145" s="119">
        <v>114539</v>
      </c>
      <c r="D145" s="119">
        <v>9916</v>
      </c>
      <c r="E145" s="119"/>
      <c r="F145" s="123">
        <v>124455</v>
      </c>
    </row>
    <row r="146" spans="2:6" x14ac:dyDescent="0.25">
      <c r="B146" s="58">
        <v>43374</v>
      </c>
      <c r="C146" s="119">
        <v>115597</v>
      </c>
      <c r="D146" s="119">
        <v>9343</v>
      </c>
      <c r="E146" s="119"/>
      <c r="F146" s="123">
        <v>124940</v>
      </c>
    </row>
    <row r="147" spans="2:6" x14ac:dyDescent="0.25">
      <c r="B147" s="58">
        <v>43405</v>
      </c>
      <c r="C147" s="119">
        <v>103229</v>
      </c>
      <c r="D147" s="119">
        <v>8391</v>
      </c>
      <c r="E147" s="119"/>
      <c r="F147" s="123">
        <v>111620</v>
      </c>
    </row>
    <row r="148" spans="2:6" x14ac:dyDescent="0.25">
      <c r="B148" s="58">
        <v>43435</v>
      </c>
      <c r="C148" s="119">
        <v>115856</v>
      </c>
      <c r="D148" s="119">
        <v>18403</v>
      </c>
      <c r="E148" s="119"/>
      <c r="F148" s="123">
        <v>134259</v>
      </c>
    </row>
    <row r="149" spans="2:6" x14ac:dyDescent="0.25">
      <c r="B149" s="58">
        <v>43466</v>
      </c>
      <c r="C149" s="119">
        <v>113050</v>
      </c>
      <c r="D149" s="119">
        <v>15740</v>
      </c>
      <c r="E149" s="119"/>
      <c r="F149" s="123">
        <v>128790</v>
      </c>
    </row>
    <row r="150" spans="2:6" x14ac:dyDescent="0.25">
      <c r="B150" s="58">
        <v>43497</v>
      </c>
      <c r="C150" s="119">
        <v>106198</v>
      </c>
      <c r="D150" s="119">
        <v>12761</v>
      </c>
      <c r="E150" s="119"/>
      <c r="F150" s="123">
        <v>118959</v>
      </c>
    </row>
    <row r="151" spans="2:6" x14ac:dyDescent="0.25">
      <c r="B151" s="58">
        <v>43525</v>
      </c>
      <c r="C151" s="119">
        <v>93571</v>
      </c>
      <c r="D151" s="119">
        <v>20159</v>
      </c>
      <c r="E151" s="119"/>
      <c r="F151" s="123">
        <v>113730</v>
      </c>
    </row>
    <row r="152" spans="2:6" x14ac:dyDescent="0.25">
      <c r="B152" s="58">
        <v>43556</v>
      </c>
      <c r="C152" s="119">
        <v>103522</v>
      </c>
      <c r="D152" s="119">
        <v>4769</v>
      </c>
      <c r="E152" s="119"/>
      <c r="F152" s="123">
        <v>108291</v>
      </c>
    </row>
    <row r="153" spans="2:6" x14ac:dyDescent="0.25">
      <c r="B153" s="58">
        <v>43586</v>
      </c>
      <c r="C153" s="119">
        <v>98596</v>
      </c>
      <c r="D153" s="119">
        <v>3591</v>
      </c>
      <c r="E153" s="119"/>
      <c r="F153" s="123">
        <v>102187</v>
      </c>
    </row>
    <row r="154" spans="2:6" x14ac:dyDescent="0.25">
      <c r="B154" s="58">
        <v>43617</v>
      </c>
      <c r="C154" s="119">
        <v>122122</v>
      </c>
      <c r="D154" s="119">
        <v>6650</v>
      </c>
      <c r="E154" s="119"/>
      <c r="F154" s="123">
        <v>128772</v>
      </c>
    </row>
    <row r="155" spans="2:6" x14ac:dyDescent="0.25">
      <c r="B155" s="58">
        <v>43647</v>
      </c>
      <c r="C155" s="119">
        <v>149994</v>
      </c>
      <c r="D155" s="119">
        <v>8520</v>
      </c>
      <c r="E155" s="119"/>
      <c r="F155" s="123">
        <v>158514</v>
      </c>
    </row>
    <row r="156" spans="2:6" x14ac:dyDescent="0.25">
      <c r="B156" s="58">
        <v>43678</v>
      </c>
      <c r="C156" s="119">
        <v>148816</v>
      </c>
      <c r="D156" s="119">
        <v>10988</v>
      </c>
      <c r="E156" s="119"/>
      <c r="F156" s="123">
        <v>159804</v>
      </c>
    </row>
    <row r="157" spans="2:6" x14ac:dyDescent="0.25">
      <c r="B157" s="58">
        <v>43709</v>
      </c>
      <c r="C157" s="119">
        <v>121668</v>
      </c>
      <c r="D157" s="119">
        <v>9199</v>
      </c>
      <c r="E157" s="119"/>
      <c r="F157" s="123">
        <v>130867</v>
      </c>
    </row>
    <row r="158" spans="2:6" x14ac:dyDescent="0.25">
      <c r="B158" s="58">
        <v>43739</v>
      </c>
      <c r="C158" s="119">
        <v>138033</v>
      </c>
      <c r="D158" s="119">
        <v>11157</v>
      </c>
      <c r="E158" s="119"/>
      <c r="F158" s="123">
        <v>149190</v>
      </c>
    </row>
    <row r="159" spans="2:6" x14ac:dyDescent="0.25">
      <c r="B159" s="58">
        <v>43770</v>
      </c>
      <c r="C159" s="119">
        <v>108755</v>
      </c>
      <c r="D159" s="119">
        <v>12315</v>
      </c>
      <c r="E159" s="119"/>
      <c r="F159" s="123">
        <v>121070</v>
      </c>
    </row>
    <row r="160" spans="2:6" x14ac:dyDescent="0.25">
      <c r="B160" s="58">
        <v>43800</v>
      </c>
      <c r="C160" s="119">
        <v>119646</v>
      </c>
      <c r="D160" s="119">
        <v>12373</v>
      </c>
      <c r="E160" s="119"/>
      <c r="F160" s="123">
        <v>132019</v>
      </c>
    </row>
    <row r="161" spans="2:6" x14ac:dyDescent="0.25">
      <c r="B161" s="58">
        <v>43831</v>
      </c>
      <c r="C161" s="119">
        <v>113082</v>
      </c>
      <c r="D161" s="119">
        <v>12205</v>
      </c>
      <c r="E161" s="119"/>
      <c r="F161" s="123">
        <v>125287</v>
      </c>
    </row>
    <row r="162" spans="2:6" x14ac:dyDescent="0.25">
      <c r="B162" s="58">
        <v>43862</v>
      </c>
      <c r="C162" s="119">
        <v>106352</v>
      </c>
      <c r="D162" s="119">
        <v>11086</v>
      </c>
      <c r="E162" s="119"/>
      <c r="F162" s="123">
        <v>117438</v>
      </c>
    </row>
    <row r="163" spans="2:6" x14ac:dyDescent="0.25">
      <c r="B163" s="58">
        <v>43891</v>
      </c>
      <c r="C163" s="119">
        <v>43346</v>
      </c>
      <c r="D163" s="119">
        <v>3950</v>
      </c>
      <c r="E163" s="119"/>
      <c r="F163" s="123">
        <v>47296</v>
      </c>
    </row>
    <row r="164" spans="2:6" x14ac:dyDescent="0.25">
      <c r="B164" s="58">
        <v>43922</v>
      </c>
      <c r="C164" s="2">
        <v>9</v>
      </c>
      <c r="D164" s="2">
        <v>0</v>
      </c>
      <c r="E164" s="2"/>
      <c r="F164" s="11">
        <v>9</v>
      </c>
    </row>
    <row r="165" spans="2:6" x14ac:dyDescent="0.25">
      <c r="B165" s="58">
        <v>43952</v>
      </c>
      <c r="C165" s="2">
        <v>94</v>
      </c>
      <c r="D165" s="2">
        <v>0</v>
      </c>
      <c r="E165" s="2"/>
      <c r="F165" s="11">
        <v>94</v>
      </c>
    </row>
    <row r="166" spans="2:6" x14ac:dyDescent="0.25">
      <c r="B166" s="58">
        <v>43983</v>
      </c>
      <c r="C166" s="2">
        <v>422</v>
      </c>
      <c r="D166" s="2">
        <v>2</v>
      </c>
      <c r="E166" s="2"/>
      <c r="F166" s="11">
        <v>424</v>
      </c>
    </row>
    <row r="167" spans="2:6" x14ac:dyDescent="0.25">
      <c r="B167" s="58">
        <v>44013</v>
      </c>
      <c r="C167" s="2">
        <v>475</v>
      </c>
      <c r="D167" s="2">
        <v>1</v>
      </c>
      <c r="E167" s="2"/>
      <c r="F167" s="11">
        <v>476</v>
      </c>
    </row>
    <row r="168" spans="2:6" x14ac:dyDescent="0.25">
      <c r="B168" s="58">
        <v>44044</v>
      </c>
      <c r="C168" s="119">
        <v>16091</v>
      </c>
      <c r="D168" s="2">
        <v>671</v>
      </c>
      <c r="E168" s="2"/>
      <c r="F168" s="123">
        <v>16762</v>
      </c>
    </row>
    <row r="169" spans="2:6" x14ac:dyDescent="0.25">
      <c r="B169" s="58">
        <v>44075</v>
      </c>
      <c r="C169" s="119">
        <v>18979</v>
      </c>
      <c r="D169" s="2">
        <v>761</v>
      </c>
      <c r="E169" s="2"/>
      <c r="F169" s="123">
        <v>19740</v>
      </c>
    </row>
    <row r="170" spans="2:6" x14ac:dyDescent="0.25">
      <c r="B170" s="58">
        <v>44105</v>
      </c>
      <c r="C170" s="119">
        <v>27809</v>
      </c>
      <c r="D170" s="119">
        <v>1173</v>
      </c>
      <c r="E170" s="119"/>
      <c r="F170" s="123">
        <v>28982</v>
      </c>
    </row>
    <row r="171" spans="2:6" x14ac:dyDescent="0.25">
      <c r="B171" s="58">
        <v>44136</v>
      </c>
      <c r="C171" s="119">
        <v>30062</v>
      </c>
      <c r="D171" s="119">
        <v>1149</v>
      </c>
      <c r="E171" s="119"/>
      <c r="F171" s="123">
        <v>31211</v>
      </c>
    </row>
    <row r="172" spans="2:6" x14ac:dyDescent="0.25">
      <c r="B172" s="58">
        <v>44166</v>
      </c>
      <c r="C172" s="119">
        <v>43226</v>
      </c>
      <c r="D172" s="119">
        <v>3109</v>
      </c>
      <c r="E172" s="119"/>
      <c r="F172" s="123">
        <v>46335</v>
      </c>
    </row>
    <row r="173" spans="2:6" x14ac:dyDescent="0.25">
      <c r="B173" s="58">
        <v>44197</v>
      </c>
      <c r="C173" s="119">
        <v>43234</v>
      </c>
      <c r="D173" s="119">
        <v>3045</v>
      </c>
      <c r="E173" s="119"/>
      <c r="F173" s="123">
        <v>46279</v>
      </c>
    </row>
    <row r="174" spans="2:6" x14ac:dyDescent="0.25">
      <c r="B174" s="58">
        <v>44228</v>
      </c>
      <c r="C174" s="119">
        <v>32047</v>
      </c>
      <c r="D174" s="119">
        <v>3005</v>
      </c>
      <c r="E174" s="119"/>
      <c r="F174" s="123">
        <v>35052</v>
      </c>
    </row>
    <row r="175" spans="2:6" x14ac:dyDescent="0.25">
      <c r="B175" s="58">
        <v>44256</v>
      </c>
      <c r="C175" s="119">
        <v>37214</v>
      </c>
      <c r="D175" s="119">
        <v>3194</v>
      </c>
      <c r="E175" s="119"/>
      <c r="F175" s="123">
        <v>40408</v>
      </c>
    </row>
    <row r="176" spans="2:6" x14ac:dyDescent="0.25">
      <c r="B176" s="58">
        <v>44287</v>
      </c>
      <c r="C176" s="119">
        <v>27850</v>
      </c>
      <c r="D176" s="119">
        <v>3037</v>
      </c>
      <c r="E176" s="119"/>
      <c r="F176" s="123">
        <v>30887</v>
      </c>
    </row>
    <row r="177" spans="2:6" x14ac:dyDescent="0.25">
      <c r="B177" s="58">
        <v>44317</v>
      </c>
      <c r="C177" s="119">
        <v>32153</v>
      </c>
      <c r="D177" s="119">
        <v>1735</v>
      </c>
      <c r="E177" s="119"/>
      <c r="F177" s="123">
        <v>33888</v>
      </c>
    </row>
    <row r="178" spans="2:6" x14ac:dyDescent="0.25">
      <c r="B178" s="58">
        <v>44348</v>
      </c>
      <c r="C178" s="119">
        <v>46494</v>
      </c>
      <c r="D178" s="119">
        <v>2038</v>
      </c>
      <c r="E178" s="119"/>
      <c r="F178" s="123">
        <v>48532</v>
      </c>
    </row>
    <row r="179" spans="2:6" x14ac:dyDescent="0.25">
      <c r="B179" s="58">
        <v>44378</v>
      </c>
      <c r="C179" s="119">
        <v>64493</v>
      </c>
      <c r="D179" s="119">
        <v>4532</v>
      </c>
      <c r="E179" s="119"/>
      <c r="F179" s="123">
        <v>69025</v>
      </c>
    </row>
    <row r="180" spans="2:6" x14ac:dyDescent="0.25">
      <c r="B180" s="58">
        <v>44409</v>
      </c>
      <c r="C180" s="119">
        <v>72291</v>
      </c>
      <c r="D180" s="119">
        <v>6257</v>
      </c>
      <c r="E180" s="119"/>
      <c r="F180" s="123">
        <v>78548</v>
      </c>
    </row>
    <row r="181" spans="2:6" x14ac:dyDescent="0.25">
      <c r="B181" s="58">
        <v>44440</v>
      </c>
      <c r="C181" s="119">
        <v>66667</v>
      </c>
      <c r="D181" s="119">
        <v>3633</v>
      </c>
      <c r="E181" s="119"/>
      <c r="F181" s="123">
        <v>70300</v>
      </c>
    </row>
    <row r="182" spans="2:6" x14ac:dyDescent="0.25">
      <c r="B182" s="58">
        <v>44470</v>
      </c>
      <c r="C182" s="119">
        <v>67608</v>
      </c>
      <c r="D182" s="119">
        <v>5201</v>
      </c>
      <c r="E182" s="119"/>
      <c r="F182" s="123">
        <v>72809</v>
      </c>
    </row>
    <row r="183" spans="2:6" x14ac:dyDescent="0.25">
      <c r="B183" s="58">
        <v>44501</v>
      </c>
      <c r="C183" s="119">
        <v>71271</v>
      </c>
      <c r="D183" s="119">
        <v>5435</v>
      </c>
      <c r="E183" s="119"/>
      <c r="F183" s="123">
        <v>76706</v>
      </c>
    </row>
    <row r="184" spans="2:6" x14ac:dyDescent="0.25">
      <c r="B184" s="58">
        <v>44531</v>
      </c>
      <c r="C184" s="119">
        <v>82867</v>
      </c>
      <c r="D184" s="119">
        <v>7637</v>
      </c>
      <c r="E184" s="119"/>
      <c r="F184" s="123">
        <v>90504</v>
      </c>
    </row>
    <row r="185" spans="2:6" x14ac:dyDescent="0.25">
      <c r="B185" s="58">
        <v>44562</v>
      </c>
      <c r="C185" s="119">
        <v>63277</v>
      </c>
      <c r="D185" s="119">
        <v>6655</v>
      </c>
      <c r="E185" s="119"/>
      <c r="F185" s="123">
        <v>69932</v>
      </c>
    </row>
    <row r="186" spans="2:6" x14ac:dyDescent="0.25">
      <c r="B186" s="58">
        <v>44593</v>
      </c>
      <c r="C186" s="119">
        <v>67560</v>
      </c>
      <c r="D186" s="119">
        <v>6390</v>
      </c>
      <c r="E186" s="119"/>
      <c r="F186" s="123">
        <v>73950</v>
      </c>
    </row>
    <row r="187" spans="2:6" x14ac:dyDescent="0.25">
      <c r="B187" s="58">
        <v>44621</v>
      </c>
      <c r="C187" s="119">
        <v>76336</v>
      </c>
      <c r="D187" s="119">
        <v>5073</v>
      </c>
      <c r="E187" s="119"/>
      <c r="F187" s="123">
        <v>81409</v>
      </c>
    </row>
    <row r="188" spans="2:6" x14ac:dyDescent="0.25">
      <c r="B188" s="58">
        <v>44652</v>
      </c>
      <c r="C188" s="119">
        <v>77379</v>
      </c>
      <c r="D188" s="119">
        <v>3949</v>
      </c>
      <c r="E188" s="119"/>
      <c r="F188" s="123">
        <v>81328</v>
      </c>
    </row>
    <row r="189" spans="2:6" x14ac:dyDescent="0.25">
      <c r="B189" s="58">
        <v>44682</v>
      </c>
      <c r="C189" s="119">
        <v>87058</v>
      </c>
      <c r="D189" s="119">
        <v>3429</v>
      </c>
      <c r="E189" s="119"/>
      <c r="F189" s="123">
        <v>90487</v>
      </c>
    </row>
    <row r="190" spans="2:6" x14ac:dyDescent="0.25">
      <c r="B190" s="58">
        <v>44713</v>
      </c>
      <c r="C190" s="119">
        <v>103332</v>
      </c>
      <c r="D190" s="119">
        <v>4834</v>
      </c>
      <c r="E190" s="119"/>
      <c r="F190" s="123">
        <v>108166</v>
      </c>
    </row>
    <row r="191" spans="2:6" x14ac:dyDescent="0.25">
      <c r="B191" s="58">
        <v>44743</v>
      </c>
      <c r="C191" s="119">
        <v>118347</v>
      </c>
      <c r="D191" s="119">
        <v>6580</v>
      </c>
      <c r="E191" s="119"/>
      <c r="F191" s="123">
        <v>124927</v>
      </c>
    </row>
    <row r="192" spans="2:6" x14ac:dyDescent="0.25">
      <c r="B192" s="58">
        <v>44774</v>
      </c>
      <c r="C192" s="119">
        <v>103163</v>
      </c>
      <c r="D192" s="119">
        <v>7892</v>
      </c>
      <c r="E192" s="119"/>
      <c r="F192" s="123">
        <v>111055</v>
      </c>
    </row>
    <row r="193" spans="2:6" x14ac:dyDescent="0.25">
      <c r="B193" s="58">
        <v>44805</v>
      </c>
      <c r="C193" s="119">
        <v>100682</v>
      </c>
      <c r="D193" s="119">
        <v>6240</v>
      </c>
      <c r="E193" s="119"/>
      <c r="F193" s="123">
        <v>106922</v>
      </c>
    </row>
    <row r="194" spans="2:6" x14ac:dyDescent="0.25">
      <c r="B194" s="58">
        <v>44835</v>
      </c>
      <c r="C194" s="119">
        <v>105318</v>
      </c>
      <c r="D194" s="119">
        <v>8663</v>
      </c>
      <c r="E194" s="119"/>
      <c r="F194" s="123">
        <v>113981</v>
      </c>
    </row>
    <row r="195" spans="2:6" x14ac:dyDescent="0.25">
      <c r="B195" s="58">
        <v>44866</v>
      </c>
      <c r="C195" s="119">
        <v>96533</v>
      </c>
      <c r="D195" s="119">
        <v>11321</v>
      </c>
      <c r="E195" s="119"/>
      <c r="F195" s="123">
        <v>107854</v>
      </c>
    </row>
    <row r="196" spans="2:6" x14ac:dyDescent="0.25">
      <c r="B196" s="58">
        <v>44896</v>
      </c>
      <c r="C196" s="119">
        <v>113630</v>
      </c>
      <c r="D196" s="119">
        <v>15086</v>
      </c>
      <c r="E196" s="119"/>
      <c r="F196" s="123">
        <v>128716</v>
      </c>
    </row>
    <row r="197" spans="2:6" x14ac:dyDescent="0.25">
      <c r="B197" s="58">
        <v>44927</v>
      </c>
      <c r="C197" s="119">
        <v>98059</v>
      </c>
      <c r="D197" s="119">
        <v>15989</v>
      </c>
      <c r="E197" s="119"/>
      <c r="F197" s="123">
        <v>114048</v>
      </c>
    </row>
    <row r="198" spans="2:6" x14ac:dyDescent="0.25">
      <c r="B198" s="58">
        <v>44958</v>
      </c>
      <c r="C198" s="119">
        <v>99432</v>
      </c>
      <c r="D198" s="119">
        <v>14863</v>
      </c>
      <c r="E198" s="119"/>
      <c r="F198" s="123">
        <v>114295</v>
      </c>
    </row>
    <row r="199" spans="2:6" x14ac:dyDescent="0.25">
      <c r="B199" s="58">
        <v>44986</v>
      </c>
      <c r="C199" s="119">
        <v>95560</v>
      </c>
      <c r="D199" s="119">
        <v>14034</v>
      </c>
      <c r="E199" s="119"/>
      <c r="F199" s="123">
        <v>109594</v>
      </c>
    </row>
    <row r="200" spans="2:6" x14ac:dyDescent="0.25">
      <c r="B200" s="58">
        <v>45017</v>
      </c>
      <c r="C200" s="119">
        <v>81339</v>
      </c>
      <c r="D200" s="119">
        <v>7315</v>
      </c>
      <c r="E200" s="119"/>
      <c r="F200" s="123">
        <v>88654</v>
      </c>
    </row>
    <row r="201" spans="2:6" x14ac:dyDescent="0.25">
      <c r="B201" s="58">
        <v>45047</v>
      </c>
      <c r="C201" s="119">
        <v>90752</v>
      </c>
      <c r="D201" s="119">
        <v>5493</v>
      </c>
      <c r="E201" s="119"/>
      <c r="F201" s="123">
        <v>96245</v>
      </c>
    </row>
    <row r="202" spans="2:6" x14ac:dyDescent="0.25">
      <c r="B202" s="58">
        <v>45078</v>
      </c>
      <c r="C202" s="119">
        <v>124483</v>
      </c>
      <c r="D202" s="119">
        <v>7814</v>
      </c>
      <c r="E202" s="119"/>
      <c r="F202" s="123">
        <v>132297</v>
      </c>
    </row>
    <row r="203" spans="2:6" x14ac:dyDescent="0.25">
      <c r="B203" s="58">
        <v>45108</v>
      </c>
      <c r="C203" s="119">
        <v>145859</v>
      </c>
      <c r="D203" s="119">
        <v>12241</v>
      </c>
      <c r="E203" s="119"/>
      <c r="F203" s="123">
        <v>158100</v>
      </c>
    </row>
    <row r="204" spans="2:6" x14ac:dyDescent="0.25">
      <c r="B204" s="58">
        <v>45139</v>
      </c>
      <c r="C204" s="119">
        <v>141792</v>
      </c>
      <c r="D204" s="119">
        <v>16301</v>
      </c>
      <c r="E204" s="119"/>
      <c r="F204" s="123">
        <v>158093</v>
      </c>
    </row>
    <row r="205" spans="2:6" x14ac:dyDescent="0.25">
      <c r="B205" s="58">
        <v>45170</v>
      </c>
      <c r="C205" s="119">
        <v>123275</v>
      </c>
      <c r="D205" s="119">
        <v>11973</v>
      </c>
      <c r="E205" s="119"/>
      <c r="F205" s="123">
        <v>135248</v>
      </c>
    </row>
    <row r="206" spans="2:6" x14ac:dyDescent="0.25">
      <c r="B206" s="58">
        <v>45200</v>
      </c>
      <c r="C206" s="119">
        <v>118254</v>
      </c>
      <c r="D206" s="119">
        <v>13502</v>
      </c>
      <c r="E206" s="119"/>
      <c r="F206" s="123">
        <v>131756</v>
      </c>
    </row>
    <row r="207" spans="2:6" x14ac:dyDescent="0.25">
      <c r="B207" s="58">
        <v>45231</v>
      </c>
      <c r="C207" s="119">
        <v>108676</v>
      </c>
      <c r="D207" s="119">
        <v>14928</v>
      </c>
      <c r="E207" s="119"/>
      <c r="F207" s="123">
        <v>123604</v>
      </c>
    </row>
    <row r="208" spans="2:6" x14ac:dyDescent="0.25">
      <c r="B208" s="58">
        <v>45261</v>
      </c>
      <c r="C208" s="119">
        <v>124189</v>
      </c>
      <c r="D208" s="119">
        <v>19753</v>
      </c>
      <c r="E208" s="119"/>
      <c r="F208" s="123">
        <v>143942</v>
      </c>
    </row>
    <row r="209" spans="2:14" x14ac:dyDescent="0.25">
      <c r="B209" s="58">
        <v>45292</v>
      </c>
      <c r="C209" s="119">
        <v>125791</v>
      </c>
      <c r="D209" s="119">
        <v>24941</v>
      </c>
      <c r="E209" s="119">
        <v>50430</v>
      </c>
      <c r="F209" s="123">
        <f>SUM(C209:E209)</f>
        <v>201162</v>
      </c>
    </row>
    <row r="210" spans="2:14" x14ac:dyDescent="0.25">
      <c r="B210" s="58">
        <v>45323</v>
      </c>
      <c r="C210" s="119">
        <v>132039</v>
      </c>
      <c r="D210" s="119">
        <v>23600</v>
      </c>
      <c r="E210" s="119">
        <v>40136</v>
      </c>
      <c r="F210" s="123">
        <f t="shared" ref="F210:F224" si="0">SUM(C210:E210)</f>
        <v>195775</v>
      </c>
    </row>
    <row r="211" spans="2:14" x14ac:dyDescent="0.25">
      <c r="B211" s="58">
        <v>45352</v>
      </c>
      <c r="C211" s="119">
        <v>120261</v>
      </c>
      <c r="D211" s="119">
        <v>18012</v>
      </c>
      <c r="E211" s="119">
        <v>42459</v>
      </c>
      <c r="F211" s="123">
        <f t="shared" si="0"/>
        <v>180732</v>
      </c>
    </row>
    <row r="212" spans="2:14" x14ac:dyDescent="0.25">
      <c r="B212" s="58">
        <v>45383</v>
      </c>
      <c r="C212" s="119">
        <v>108592</v>
      </c>
      <c r="D212" s="119">
        <v>6720</v>
      </c>
      <c r="E212" s="119">
        <v>38898</v>
      </c>
      <c r="F212" s="123">
        <f t="shared" si="0"/>
        <v>154210</v>
      </c>
    </row>
    <row r="213" spans="2:14" x14ac:dyDescent="0.25">
      <c r="B213" s="58">
        <v>45413</v>
      </c>
      <c r="C213" s="119">
        <v>121650</v>
      </c>
      <c r="D213" s="119">
        <v>5978</v>
      </c>
      <c r="E213" s="119">
        <v>42569</v>
      </c>
      <c r="F213" s="123">
        <f t="shared" si="0"/>
        <v>170197</v>
      </c>
      <c r="M213" s="64"/>
    </row>
    <row r="214" spans="2:14" x14ac:dyDescent="0.25">
      <c r="B214" s="58">
        <v>45444</v>
      </c>
      <c r="C214" s="119">
        <v>149643</v>
      </c>
      <c r="D214" s="119">
        <v>9685</v>
      </c>
      <c r="E214" s="119">
        <v>43289</v>
      </c>
      <c r="F214" s="123">
        <f t="shared" si="0"/>
        <v>202617</v>
      </c>
      <c r="M214" s="64"/>
      <c r="N214" s="64"/>
    </row>
    <row r="215" spans="2:14" x14ac:dyDescent="0.25">
      <c r="B215" s="58">
        <v>45474</v>
      </c>
      <c r="C215" s="119">
        <v>164672</v>
      </c>
      <c r="D215" s="119">
        <v>16346</v>
      </c>
      <c r="E215" s="119">
        <v>45928</v>
      </c>
      <c r="F215" s="123">
        <f t="shared" si="0"/>
        <v>226946</v>
      </c>
      <c r="M215" s="64"/>
      <c r="N215" s="64"/>
    </row>
    <row r="216" spans="2:14" x14ac:dyDescent="0.25">
      <c r="B216" s="58">
        <v>45505</v>
      </c>
      <c r="C216" s="119">
        <v>169315</v>
      </c>
      <c r="D216" s="119">
        <v>20278</v>
      </c>
      <c r="E216" s="119">
        <v>59493</v>
      </c>
      <c r="F216" s="123">
        <f t="shared" si="0"/>
        <v>249086</v>
      </c>
      <c r="M216" s="64"/>
      <c r="N216" s="64"/>
    </row>
    <row r="217" spans="2:14" x14ac:dyDescent="0.25">
      <c r="B217" s="58">
        <v>45536</v>
      </c>
      <c r="C217" s="119">
        <v>139812</v>
      </c>
      <c r="D217" s="119">
        <v>15747</v>
      </c>
      <c r="E217" s="119">
        <v>48937</v>
      </c>
      <c r="F217" s="123">
        <f t="shared" si="0"/>
        <v>204496</v>
      </c>
      <c r="M217" s="64"/>
      <c r="N217" s="64"/>
    </row>
    <row r="218" spans="2:14" x14ac:dyDescent="0.25">
      <c r="B218" s="58">
        <v>45566</v>
      </c>
      <c r="C218" s="119">
        <v>135581</v>
      </c>
      <c r="D218" s="119">
        <v>17844</v>
      </c>
      <c r="E218" s="119">
        <v>47511</v>
      </c>
      <c r="F218" s="123">
        <f t="shared" si="0"/>
        <v>200936</v>
      </c>
      <c r="M218" s="64"/>
      <c r="N218" s="64"/>
    </row>
    <row r="219" spans="2:14" x14ac:dyDescent="0.25">
      <c r="B219" s="58">
        <v>45597</v>
      </c>
      <c r="C219" s="119">
        <v>119679</v>
      </c>
      <c r="D219" s="119">
        <v>19776</v>
      </c>
      <c r="E219" s="119">
        <v>43674</v>
      </c>
      <c r="F219" s="123">
        <f t="shared" si="0"/>
        <v>183129</v>
      </c>
      <c r="M219" s="64"/>
      <c r="N219" s="64"/>
    </row>
    <row r="220" spans="2:14" x14ac:dyDescent="0.25">
      <c r="B220" s="58">
        <v>45627</v>
      </c>
      <c r="C220" s="119">
        <v>140802</v>
      </c>
      <c r="D220" s="119">
        <v>25964</v>
      </c>
      <c r="E220" s="119">
        <v>58324</v>
      </c>
      <c r="F220" s="123">
        <f t="shared" si="0"/>
        <v>225090</v>
      </c>
      <c r="M220" s="64"/>
      <c r="N220" s="64"/>
    </row>
    <row r="221" spans="2:14" x14ac:dyDescent="0.25">
      <c r="B221" s="58">
        <v>45658</v>
      </c>
      <c r="C221" s="119">
        <v>135508</v>
      </c>
      <c r="D221" s="119">
        <v>28093</v>
      </c>
      <c r="E221" s="119">
        <v>54152</v>
      </c>
      <c r="F221" s="123">
        <f t="shared" si="0"/>
        <v>217753</v>
      </c>
      <c r="M221" s="64"/>
      <c r="N221" s="64"/>
    </row>
    <row r="222" spans="2:14" x14ac:dyDescent="0.25">
      <c r="B222" s="58">
        <v>45689</v>
      </c>
      <c r="C222" s="119">
        <v>130316</v>
      </c>
      <c r="D222" s="119">
        <v>25075</v>
      </c>
      <c r="E222" s="119">
        <v>40755</v>
      </c>
      <c r="F222" s="123">
        <f t="shared" si="0"/>
        <v>196146</v>
      </c>
      <c r="M222" s="64"/>
      <c r="N222" s="64"/>
    </row>
    <row r="223" spans="2:14" x14ac:dyDescent="0.25">
      <c r="B223" s="58">
        <v>45717</v>
      </c>
      <c r="C223" s="119">
        <v>109692</v>
      </c>
      <c r="D223" s="119">
        <v>18233</v>
      </c>
      <c r="E223" s="119">
        <v>40638</v>
      </c>
      <c r="F223" s="123">
        <f t="shared" si="0"/>
        <v>168563</v>
      </c>
      <c r="M223" s="64"/>
      <c r="N223" s="64"/>
    </row>
    <row r="224" spans="2:14" x14ac:dyDescent="0.25">
      <c r="B224" s="58">
        <v>45748</v>
      </c>
      <c r="C224" s="119">
        <v>114809</v>
      </c>
      <c r="D224" s="119">
        <v>9359</v>
      </c>
      <c r="E224" s="119">
        <v>45062</v>
      </c>
      <c r="F224" s="123">
        <f t="shared" si="0"/>
        <v>169230</v>
      </c>
      <c r="M224" s="64"/>
      <c r="N224" s="64"/>
    </row>
    <row r="225" spans="2:14" x14ac:dyDescent="0.25">
      <c r="B225" s="58">
        <v>45778</v>
      </c>
      <c r="C225" s="119">
        <v>119836</v>
      </c>
      <c r="D225" s="119">
        <v>7121</v>
      </c>
      <c r="E225" s="119">
        <v>44312</v>
      </c>
      <c r="F225" s="123">
        <v>171269</v>
      </c>
      <c r="M225" s="64"/>
      <c r="N225" s="64"/>
    </row>
    <row r="226" spans="2:14" x14ac:dyDescent="0.25">
      <c r="B226" s="58">
        <v>45809</v>
      </c>
      <c r="C226" s="119">
        <v>153958</v>
      </c>
      <c r="D226" s="119">
        <v>11330</v>
      </c>
      <c r="E226" s="119">
        <v>46321</v>
      </c>
      <c r="F226" s="123">
        <v>211609</v>
      </c>
    </row>
    <row r="227" spans="2:14" x14ac:dyDescent="0.25">
      <c r="B227" s="58">
        <v>45839</v>
      </c>
      <c r="C227" s="119">
        <v>184845</v>
      </c>
      <c r="D227" s="119">
        <v>20500</v>
      </c>
      <c r="E227" s="119">
        <v>50828</v>
      </c>
      <c r="F227" s="123">
        <v>256173</v>
      </c>
      <c r="M227" s="64"/>
    </row>
    <row r="228" spans="2:14" x14ac:dyDescent="0.25">
      <c r="B228" s="58">
        <v>45870</v>
      </c>
      <c r="C228" s="119">
        <v>187597</v>
      </c>
      <c r="D228" s="119">
        <v>22910</v>
      </c>
      <c r="E228" s="119">
        <v>65759</v>
      </c>
      <c r="F228" s="123">
        <v>276266</v>
      </c>
      <c r="M228" s="64"/>
      <c r="N228" s="64"/>
    </row>
    <row r="229" spans="2:14" x14ac:dyDescent="0.25">
      <c r="B229" s="58">
        <v>45901</v>
      </c>
      <c r="C229" s="119">
        <v>143883</v>
      </c>
      <c r="D229" s="119">
        <v>18499</v>
      </c>
      <c r="E229" s="119">
        <v>50899</v>
      </c>
      <c r="F229" s="123">
        <v>213281</v>
      </c>
    </row>
    <row r="230" spans="2:14" x14ac:dyDescent="0.25">
      <c r="B230" s="58">
        <v>45931</v>
      </c>
      <c r="C230" s="119">
        <v>151582</v>
      </c>
      <c r="D230" s="119">
        <v>19911</v>
      </c>
      <c r="E230" s="119">
        <v>48077</v>
      </c>
      <c r="F230" s="123">
        <v>219570</v>
      </c>
    </row>
    <row r="231" spans="2:14" x14ac:dyDescent="0.25">
      <c r="B231" s="58">
        <v>45962</v>
      </c>
      <c r="C231" s="119">
        <v>132894</v>
      </c>
      <c r="D231" s="119">
        <v>24416</v>
      </c>
      <c r="E231" s="119">
        <v>44374</v>
      </c>
      <c r="F231" s="123">
        <v>201684</v>
      </c>
    </row>
    <row r="232" spans="2:14" x14ac:dyDescent="0.25">
      <c r="B232" s="58"/>
      <c r="C232" s="119"/>
      <c r="D232" s="119"/>
      <c r="E232" s="119"/>
      <c r="F232" s="123"/>
    </row>
    <row r="233" spans="2:14" x14ac:dyDescent="0.25">
      <c r="B233" s="58"/>
      <c r="C233" s="119"/>
      <c r="D233" s="119"/>
      <c r="E233" s="119"/>
      <c r="F233" s="123"/>
    </row>
    <row r="234" spans="2:14" x14ac:dyDescent="0.25">
      <c r="B234" s="58"/>
      <c r="C234" s="119"/>
      <c r="D234" s="119"/>
      <c r="E234" s="119"/>
      <c r="F234" s="123"/>
    </row>
    <row r="235" spans="2:14" x14ac:dyDescent="0.25">
      <c r="B235" s="58"/>
      <c r="C235" s="119"/>
      <c r="D235" s="119"/>
      <c r="E235" s="119"/>
      <c r="F235" s="1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5840-3C54-489E-943F-E8E33C6F419C}">
  <dimension ref="B3:O245"/>
  <sheetViews>
    <sheetView workbookViewId="0">
      <pane ySplit="3" topLeftCell="A217" activePane="bottomLeft" state="frozen"/>
      <selection pane="bottomLeft" activeCell="C225" sqref="C225:O245"/>
    </sheetView>
  </sheetViews>
  <sheetFormatPr defaultRowHeight="11.5" x14ac:dyDescent="0.25"/>
  <cols>
    <col min="1" max="1" width="8.7265625" style="124"/>
    <col min="2" max="2" width="6.26953125" style="124" bestFit="1" customWidth="1"/>
    <col min="3" max="4" width="10.1796875" style="124" bestFit="1" customWidth="1"/>
    <col min="5" max="5" width="12.36328125" style="124" bestFit="1" customWidth="1"/>
    <col min="6" max="6" width="6.90625" style="124" bestFit="1" customWidth="1"/>
    <col min="7" max="8" width="8.81640625" style="124" bestFit="1" customWidth="1"/>
    <col min="9" max="9" width="10.1796875" style="124" bestFit="1" customWidth="1"/>
    <col min="10" max="10" width="8.81640625" style="124" bestFit="1" customWidth="1"/>
    <col min="11" max="11" width="11.54296875" style="124" bestFit="1" customWidth="1"/>
    <col min="12" max="12" width="8.90625" style="124" bestFit="1" customWidth="1"/>
    <col min="13" max="13" width="14.08984375" style="124" bestFit="1" customWidth="1"/>
    <col min="14" max="14" width="10.1796875" style="124" bestFit="1" customWidth="1"/>
    <col min="15" max="15" width="11.08984375" style="124" bestFit="1" customWidth="1"/>
    <col min="16" max="16384" width="8.7265625" style="124"/>
  </cols>
  <sheetData>
    <row r="3" spans="2:15" x14ac:dyDescent="0.25">
      <c r="B3" s="125"/>
      <c r="C3" s="126" t="s">
        <v>59</v>
      </c>
      <c r="D3" s="126" t="s">
        <v>60</v>
      </c>
      <c r="E3" s="127" t="s">
        <v>61</v>
      </c>
      <c r="F3" s="127" t="s">
        <v>149</v>
      </c>
      <c r="G3" s="126" t="s">
        <v>62</v>
      </c>
      <c r="H3" s="126" t="s">
        <v>63</v>
      </c>
      <c r="I3" s="126" t="s">
        <v>64</v>
      </c>
      <c r="J3" s="126" t="s">
        <v>65</v>
      </c>
      <c r="K3" s="127" t="s">
        <v>66</v>
      </c>
      <c r="L3" s="126" t="s">
        <v>67</v>
      </c>
      <c r="M3" s="127" t="s">
        <v>68</v>
      </c>
      <c r="N3" s="126" t="s">
        <v>69</v>
      </c>
      <c r="O3" s="128" t="s">
        <v>42</v>
      </c>
    </row>
    <row r="4" spans="2:15" x14ac:dyDescent="0.25">
      <c r="B4" s="129">
        <v>39083</v>
      </c>
      <c r="C4" s="163">
        <v>1997</v>
      </c>
      <c r="D4" s="163">
        <v>2115</v>
      </c>
      <c r="E4" s="163">
        <v>648</v>
      </c>
      <c r="F4" s="163"/>
      <c r="G4" s="163">
        <v>574</v>
      </c>
      <c r="H4" s="163">
        <v>61</v>
      </c>
      <c r="I4" s="163">
        <v>442</v>
      </c>
      <c r="J4" s="163">
        <v>120</v>
      </c>
      <c r="K4" s="163">
        <v>935</v>
      </c>
      <c r="L4" s="163">
        <v>76</v>
      </c>
      <c r="M4" s="163">
        <v>100</v>
      </c>
      <c r="N4" s="163">
        <v>18</v>
      </c>
      <c r="O4" s="164">
        <v>7086</v>
      </c>
    </row>
    <row r="5" spans="2:15" x14ac:dyDescent="0.25">
      <c r="B5" s="129">
        <v>39114</v>
      </c>
      <c r="C5" s="163">
        <v>1027</v>
      </c>
      <c r="D5" s="163">
        <v>1193</v>
      </c>
      <c r="E5" s="163">
        <v>796</v>
      </c>
      <c r="F5" s="163"/>
      <c r="G5" s="163">
        <v>48</v>
      </c>
      <c r="H5" s="163">
        <v>100</v>
      </c>
      <c r="I5" s="163">
        <v>357</v>
      </c>
      <c r="J5" s="163">
        <v>137</v>
      </c>
      <c r="K5" s="163">
        <v>1033</v>
      </c>
      <c r="L5" s="163">
        <v>99</v>
      </c>
      <c r="M5" s="163">
        <v>93</v>
      </c>
      <c r="N5" s="163">
        <v>23</v>
      </c>
      <c r="O5" s="165">
        <v>4906</v>
      </c>
    </row>
    <row r="6" spans="2:15" x14ac:dyDescent="0.25">
      <c r="B6" s="129">
        <v>39142</v>
      </c>
      <c r="C6" s="163">
        <v>1123</v>
      </c>
      <c r="D6" s="163">
        <v>1274</v>
      </c>
      <c r="E6" s="163">
        <v>911</v>
      </c>
      <c r="F6" s="163"/>
      <c r="G6" s="163">
        <v>69</v>
      </c>
      <c r="H6" s="163">
        <v>134</v>
      </c>
      <c r="I6" s="163">
        <v>490</v>
      </c>
      <c r="J6" s="163">
        <v>151</v>
      </c>
      <c r="K6" s="163">
        <v>1291</v>
      </c>
      <c r="L6" s="163">
        <v>135</v>
      </c>
      <c r="M6" s="163">
        <v>98</v>
      </c>
      <c r="N6" s="163">
        <v>36</v>
      </c>
      <c r="O6" s="165">
        <v>5712</v>
      </c>
    </row>
    <row r="7" spans="2:15" x14ac:dyDescent="0.25">
      <c r="B7" s="129">
        <v>39173</v>
      </c>
      <c r="C7" s="163">
        <v>1316</v>
      </c>
      <c r="D7" s="163">
        <v>1656</v>
      </c>
      <c r="E7" s="163">
        <v>667</v>
      </c>
      <c r="F7" s="163"/>
      <c r="G7" s="163">
        <v>293</v>
      </c>
      <c r="H7" s="163">
        <v>71</v>
      </c>
      <c r="I7" s="163">
        <v>411</v>
      </c>
      <c r="J7" s="163">
        <v>142</v>
      </c>
      <c r="K7" s="163">
        <v>935</v>
      </c>
      <c r="L7" s="163">
        <v>110</v>
      </c>
      <c r="M7" s="163">
        <v>87</v>
      </c>
      <c r="N7" s="163">
        <v>25</v>
      </c>
      <c r="O7" s="165">
        <v>5713</v>
      </c>
    </row>
    <row r="8" spans="2:15" x14ac:dyDescent="0.25">
      <c r="B8" s="129">
        <v>39203</v>
      </c>
      <c r="C8" s="163">
        <v>1301</v>
      </c>
      <c r="D8" s="163">
        <v>1790</v>
      </c>
      <c r="E8" s="163">
        <v>885</v>
      </c>
      <c r="F8" s="163"/>
      <c r="G8" s="163">
        <v>406</v>
      </c>
      <c r="H8" s="163">
        <v>151</v>
      </c>
      <c r="I8" s="163">
        <v>708</v>
      </c>
      <c r="J8" s="163">
        <v>265</v>
      </c>
      <c r="K8" s="163">
        <v>2457</v>
      </c>
      <c r="L8" s="163">
        <v>83</v>
      </c>
      <c r="M8" s="163">
        <v>112</v>
      </c>
      <c r="N8" s="163">
        <v>54</v>
      </c>
      <c r="O8" s="165">
        <v>8212</v>
      </c>
    </row>
    <row r="9" spans="2:15" x14ac:dyDescent="0.25">
      <c r="B9" s="129">
        <v>39234</v>
      </c>
      <c r="C9" s="163">
        <v>1094</v>
      </c>
      <c r="D9" s="163">
        <v>1900</v>
      </c>
      <c r="E9" s="163">
        <v>660</v>
      </c>
      <c r="F9" s="163"/>
      <c r="G9" s="163">
        <v>406</v>
      </c>
      <c r="H9" s="163">
        <v>103</v>
      </c>
      <c r="I9" s="163">
        <v>513</v>
      </c>
      <c r="J9" s="163">
        <v>197</v>
      </c>
      <c r="K9" s="163">
        <v>1321</v>
      </c>
      <c r="L9" s="163">
        <v>100</v>
      </c>
      <c r="M9" s="163">
        <v>113</v>
      </c>
      <c r="N9" s="163">
        <v>44</v>
      </c>
      <c r="O9" s="165">
        <v>6451</v>
      </c>
    </row>
    <row r="10" spans="2:15" x14ac:dyDescent="0.25">
      <c r="B10" s="129">
        <v>39264</v>
      </c>
      <c r="C10" s="163">
        <v>1627</v>
      </c>
      <c r="D10" s="163">
        <v>2191</v>
      </c>
      <c r="E10" s="163">
        <v>874</v>
      </c>
      <c r="F10" s="163"/>
      <c r="G10" s="163">
        <v>377</v>
      </c>
      <c r="H10" s="163">
        <v>140</v>
      </c>
      <c r="I10" s="163">
        <v>558</v>
      </c>
      <c r="J10" s="163">
        <v>216</v>
      </c>
      <c r="K10" s="163">
        <v>1114</v>
      </c>
      <c r="L10" s="163">
        <v>77</v>
      </c>
      <c r="M10" s="163">
        <v>125</v>
      </c>
      <c r="N10" s="163">
        <v>70</v>
      </c>
      <c r="O10" s="165">
        <v>7369</v>
      </c>
    </row>
    <row r="11" spans="2:15" x14ac:dyDescent="0.25">
      <c r="B11" s="129">
        <v>39295</v>
      </c>
      <c r="C11" s="163">
        <v>1710</v>
      </c>
      <c r="D11" s="163">
        <v>2560</v>
      </c>
      <c r="E11" s="163">
        <v>795</v>
      </c>
      <c r="F11" s="163"/>
      <c r="G11" s="163">
        <v>464</v>
      </c>
      <c r="H11" s="163">
        <v>110</v>
      </c>
      <c r="I11" s="163">
        <v>629</v>
      </c>
      <c r="J11" s="163">
        <v>210</v>
      </c>
      <c r="K11" s="163">
        <v>1366</v>
      </c>
      <c r="L11" s="163">
        <v>90</v>
      </c>
      <c r="M11" s="163">
        <v>83</v>
      </c>
      <c r="N11" s="163">
        <v>89</v>
      </c>
      <c r="O11" s="165">
        <v>8106</v>
      </c>
    </row>
    <row r="12" spans="2:15" x14ac:dyDescent="0.25">
      <c r="B12" s="129">
        <v>39326</v>
      </c>
      <c r="C12" s="163">
        <v>1824</v>
      </c>
      <c r="D12" s="163">
        <v>2476</v>
      </c>
      <c r="E12" s="163">
        <v>778</v>
      </c>
      <c r="F12" s="163"/>
      <c r="G12" s="163">
        <v>430</v>
      </c>
      <c r="H12" s="163">
        <v>120</v>
      </c>
      <c r="I12" s="163">
        <v>492</v>
      </c>
      <c r="J12" s="163">
        <v>197</v>
      </c>
      <c r="K12" s="163">
        <v>1497</v>
      </c>
      <c r="L12" s="163">
        <v>63</v>
      </c>
      <c r="M12" s="163">
        <v>91</v>
      </c>
      <c r="N12" s="163">
        <v>41</v>
      </c>
      <c r="O12" s="165">
        <v>8009</v>
      </c>
    </row>
    <row r="13" spans="2:15" x14ac:dyDescent="0.25">
      <c r="B13" s="129">
        <v>39356</v>
      </c>
      <c r="C13" s="163">
        <v>2057</v>
      </c>
      <c r="D13" s="163">
        <v>2905</v>
      </c>
      <c r="E13" s="163">
        <v>883</v>
      </c>
      <c r="F13" s="163"/>
      <c r="G13" s="163">
        <v>598</v>
      </c>
      <c r="H13" s="163">
        <v>132</v>
      </c>
      <c r="I13" s="163">
        <v>625</v>
      </c>
      <c r="J13" s="163">
        <v>236</v>
      </c>
      <c r="K13" s="163">
        <v>1353</v>
      </c>
      <c r="L13" s="163">
        <v>112</v>
      </c>
      <c r="M13" s="163">
        <v>102</v>
      </c>
      <c r="N13" s="163">
        <v>43</v>
      </c>
      <c r="O13" s="165">
        <v>9046</v>
      </c>
    </row>
    <row r="14" spans="2:15" x14ac:dyDescent="0.25">
      <c r="B14" s="129">
        <v>39387</v>
      </c>
      <c r="C14" s="163">
        <v>1721</v>
      </c>
      <c r="D14" s="163">
        <v>2649</v>
      </c>
      <c r="E14" s="163">
        <v>877</v>
      </c>
      <c r="F14" s="163"/>
      <c r="G14" s="163">
        <v>84</v>
      </c>
      <c r="H14" s="163">
        <v>714</v>
      </c>
      <c r="I14" s="163">
        <v>633</v>
      </c>
      <c r="J14" s="163">
        <v>178</v>
      </c>
      <c r="K14" s="163">
        <v>2165</v>
      </c>
      <c r="L14" s="163">
        <v>112</v>
      </c>
      <c r="M14" s="163">
        <v>154</v>
      </c>
      <c r="N14" s="163">
        <v>32</v>
      </c>
      <c r="O14" s="165">
        <v>9319</v>
      </c>
    </row>
    <row r="15" spans="2:15" x14ac:dyDescent="0.25">
      <c r="B15" s="129">
        <v>39417</v>
      </c>
      <c r="C15" s="163">
        <v>1096</v>
      </c>
      <c r="D15" s="163">
        <v>1406</v>
      </c>
      <c r="E15" s="163">
        <v>696</v>
      </c>
      <c r="F15" s="163"/>
      <c r="G15" s="163">
        <v>503</v>
      </c>
      <c r="H15" s="163">
        <v>170</v>
      </c>
      <c r="I15" s="163">
        <v>471</v>
      </c>
      <c r="J15" s="163">
        <v>144</v>
      </c>
      <c r="K15" s="163">
        <v>826</v>
      </c>
      <c r="L15" s="163">
        <v>15</v>
      </c>
      <c r="M15" s="163">
        <v>55</v>
      </c>
      <c r="N15" s="163">
        <v>13</v>
      </c>
      <c r="O15" s="165">
        <v>5395</v>
      </c>
    </row>
    <row r="16" spans="2:15" x14ac:dyDescent="0.25">
      <c r="B16" s="129">
        <v>39448</v>
      </c>
      <c r="C16" s="163">
        <v>1876</v>
      </c>
      <c r="D16" s="163">
        <v>2702</v>
      </c>
      <c r="E16" s="163">
        <v>601</v>
      </c>
      <c r="F16" s="163"/>
      <c r="G16" s="163">
        <v>427</v>
      </c>
      <c r="H16" s="163">
        <v>83</v>
      </c>
      <c r="I16" s="163">
        <v>409</v>
      </c>
      <c r="J16" s="163">
        <v>177</v>
      </c>
      <c r="K16" s="163">
        <v>1740</v>
      </c>
      <c r="L16" s="163">
        <v>63</v>
      </c>
      <c r="M16" s="163">
        <v>87</v>
      </c>
      <c r="N16" s="163">
        <v>27</v>
      </c>
      <c r="O16" s="165">
        <v>8192</v>
      </c>
    </row>
    <row r="17" spans="2:15" x14ac:dyDescent="0.25">
      <c r="B17" s="129">
        <v>39479</v>
      </c>
      <c r="C17" s="163">
        <v>1065</v>
      </c>
      <c r="D17" s="163">
        <v>1553</v>
      </c>
      <c r="E17" s="163">
        <v>706</v>
      </c>
      <c r="F17" s="163"/>
      <c r="G17" s="163">
        <v>452</v>
      </c>
      <c r="H17" s="163">
        <v>61</v>
      </c>
      <c r="I17" s="163">
        <v>462</v>
      </c>
      <c r="J17" s="163">
        <v>134</v>
      </c>
      <c r="K17" s="163">
        <v>1982</v>
      </c>
      <c r="L17" s="163">
        <v>48</v>
      </c>
      <c r="M17" s="163">
        <v>121</v>
      </c>
      <c r="N17" s="163">
        <v>45</v>
      </c>
      <c r="O17" s="165">
        <v>6629</v>
      </c>
    </row>
    <row r="18" spans="2:15" x14ac:dyDescent="0.25">
      <c r="B18" s="129">
        <v>39508</v>
      </c>
      <c r="C18" s="163">
        <v>830</v>
      </c>
      <c r="D18" s="163">
        <v>1299</v>
      </c>
      <c r="E18" s="163">
        <v>566</v>
      </c>
      <c r="F18" s="163"/>
      <c r="G18" s="163">
        <v>435</v>
      </c>
      <c r="H18" s="163">
        <v>82</v>
      </c>
      <c r="I18" s="163">
        <v>541</v>
      </c>
      <c r="J18" s="163">
        <v>184</v>
      </c>
      <c r="K18" s="163">
        <v>1904</v>
      </c>
      <c r="L18" s="163">
        <v>75</v>
      </c>
      <c r="M18" s="163">
        <v>85</v>
      </c>
      <c r="N18" s="163">
        <v>43</v>
      </c>
      <c r="O18" s="165">
        <v>6044</v>
      </c>
    </row>
    <row r="19" spans="2:15" x14ac:dyDescent="0.25">
      <c r="B19" s="129">
        <v>39539</v>
      </c>
      <c r="C19" s="163">
        <v>1272</v>
      </c>
      <c r="D19" s="163">
        <v>1839</v>
      </c>
      <c r="E19" s="163">
        <v>877</v>
      </c>
      <c r="F19" s="163"/>
      <c r="G19" s="163">
        <v>559</v>
      </c>
      <c r="H19" s="163">
        <v>97</v>
      </c>
      <c r="I19" s="163">
        <v>658</v>
      </c>
      <c r="J19" s="163">
        <v>182</v>
      </c>
      <c r="K19" s="163">
        <v>3840</v>
      </c>
      <c r="L19" s="163">
        <v>30</v>
      </c>
      <c r="M19" s="163">
        <v>133</v>
      </c>
      <c r="N19" s="163">
        <v>52</v>
      </c>
      <c r="O19" s="165">
        <v>9539</v>
      </c>
    </row>
    <row r="20" spans="2:15" x14ac:dyDescent="0.25">
      <c r="B20" s="129">
        <v>39569</v>
      </c>
      <c r="C20" s="163">
        <v>1311</v>
      </c>
      <c r="D20" s="163">
        <v>2148</v>
      </c>
      <c r="E20" s="163">
        <v>413</v>
      </c>
      <c r="F20" s="163"/>
      <c r="G20" s="163">
        <v>390</v>
      </c>
      <c r="H20" s="163">
        <v>128</v>
      </c>
      <c r="I20" s="163">
        <v>547</v>
      </c>
      <c r="J20" s="163">
        <v>168</v>
      </c>
      <c r="K20" s="163">
        <v>4390</v>
      </c>
      <c r="L20" s="163">
        <v>56</v>
      </c>
      <c r="M20" s="163">
        <v>101</v>
      </c>
      <c r="N20" s="163">
        <v>47</v>
      </c>
      <c r="O20" s="165">
        <v>9699</v>
      </c>
    </row>
    <row r="21" spans="2:15" x14ac:dyDescent="0.25">
      <c r="B21" s="129">
        <v>39600</v>
      </c>
      <c r="C21" s="163">
        <v>1230</v>
      </c>
      <c r="D21" s="163">
        <v>1890</v>
      </c>
      <c r="E21" s="163">
        <v>405</v>
      </c>
      <c r="F21" s="163"/>
      <c r="G21" s="163">
        <v>314</v>
      </c>
      <c r="H21" s="163">
        <v>73</v>
      </c>
      <c r="I21" s="163">
        <v>593</v>
      </c>
      <c r="J21" s="163">
        <v>170</v>
      </c>
      <c r="K21" s="163">
        <v>3859</v>
      </c>
      <c r="L21" s="163">
        <v>57</v>
      </c>
      <c r="M21" s="163">
        <v>88</v>
      </c>
      <c r="N21" s="163">
        <v>59</v>
      </c>
      <c r="O21" s="165">
        <v>8738</v>
      </c>
    </row>
    <row r="22" spans="2:15" x14ac:dyDescent="0.25">
      <c r="B22" s="129">
        <v>39630</v>
      </c>
      <c r="C22" s="163">
        <v>1823</v>
      </c>
      <c r="D22" s="163">
        <v>2799</v>
      </c>
      <c r="E22" s="163">
        <v>555</v>
      </c>
      <c r="F22" s="163"/>
      <c r="G22" s="163">
        <v>509</v>
      </c>
      <c r="H22" s="163">
        <v>126</v>
      </c>
      <c r="I22" s="163">
        <v>585</v>
      </c>
      <c r="J22" s="163">
        <v>193</v>
      </c>
      <c r="K22" s="163">
        <v>4530</v>
      </c>
      <c r="L22" s="163">
        <v>79</v>
      </c>
      <c r="M22" s="163">
        <v>90</v>
      </c>
      <c r="N22" s="163">
        <v>58</v>
      </c>
      <c r="O22" s="165">
        <v>11347</v>
      </c>
    </row>
    <row r="23" spans="2:15" x14ac:dyDescent="0.25">
      <c r="B23" s="129">
        <v>39661</v>
      </c>
      <c r="C23" s="163">
        <v>2686</v>
      </c>
      <c r="D23" s="163">
        <v>2689</v>
      </c>
      <c r="E23" s="163">
        <v>408</v>
      </c>
      <c r="F23" s="163"/>
      <c r="G23" s="163">
        <v>564</v>
      </c>
      <c r="H23" s="163">
        <v>129</v>
      </c>
      <c r="I23" s="163">
        <v>680</v>
      </c>
      <c r="J23" s="163">
        <v>170</v>
      </c>
      <c r="K23" s="163">
        <v>4605</v>
      </c>
      <c r="L23" s="163">
        <v>67</v>
      </c>
      <c r="M23" s="163">
        <v>67</v>
      </c>
      <c r="N23" s="163">
        <v>43</v>
      </c>
      <c r="O23" s="165">
        <v>12108</v>
      </c>
    </row>
    <row r="24" spans="2:15" x14ac:dyDescent="0.25">
      <c r="B24" s="129">
        <v>39692</v>
      </c>
      <c r="C24" s="163">
        <v>1630</v>
      </c>
      <c r="D24" s="163">
        <v>2580</v>
      </c>
      <c r="E24" s="163">
        <v>479</v>
      </c>
      <c r="F24" s="163"/>
      <c r="G24" s="163">
        <v>426</v>
      </c>
      <c r="H24" s="163">
        <v>104</v>
      </c>
      <c r="I24" s="163">
        <v>682</v>
      </c>
      <c r="J24" s="163">
        <v>88</v>
      </c>
      <c r="K24" s="163">
        <v>5964</v>
      </c>
      <c r="L24" s="163">
        <v>45</v>
      </c>
      <c r="M24" s="163">
        <v>143</v>
      </c>
      <c r="N24" s="163">
        <v>69</v>
      </c>
      <c r="O24" s="165">
        <v>12210</v>
      </c>
    </row>
    <row r="25" spans="2:15" x14ac:dyDescent="0.25">
      <c r="B25" s="129">
        <v>39722</v>
      </c>
      <c r="C25" s="163">
        <v>1603</v>
      </c>
      <c r="D25" s="163">
        <v>2232</v>
      </c>
      <c r="E25" s="163">
        <v>680</v>
      </c>
      <c r="F25" s="163"/>
      <c r="G25" s="163">
        <v>373</v>
      </c>
      <c r="H25" s="163">
        <v>108</v>
      </c>
      <c r="I25" s="163">
        <v>542</v>
      </c>
      <c r="J25" s="163">
        <v>166</v>
      </c>
      <c r="K25" s="163">
        <v>6680</v>
      </c>
      <c r="L25" s="163">
        <v>80</v>
      </c>
      <c r="M25" s="163">
        <v>136</v>
      </c>
      <c r="N25" s="163">
        <v>65</v>
      </c>
      <c r="O25" s="165">
        <v>12665</v>
      </c>
    </row>
    <row r="26" spans="2:15" x14ac:dyDescent="0.25">
      <c r="B26" s="129">
        <v>39753</v>
      </c>
      <c r="C26" s="163">
        <v>1527</v>
      </c>
      <c r="D26" s="163">
        <v>2358</v>
      </c>
      <c r="E26" s="163">
        <v>587</v>
      </c>
      <c r="F26" s="163"/>
      <c r="G26" s="163">
        <v>370</v>
      </c>
      <c r="H26" s="163">
        <v>104</v>
      </c>
      <c r="I26" s="163">
        <v>330</v>
      </c>
      <c r="J26" s="163">
        <v>247</v>
      </c>
      <c r="K26" s="163">
        <v>6471</v>
      </c>
      <c r="L26" s="163">
        <v>60</v>
      </c>
      <c r="M26" s="163">
        <v>87</v>
      </c>
      <c r="N26" s="163">
        <v>253</v>
      </c>
      <c r="O26" s="165">
        <v>12394</v>
      </c>
    </row>
    <row r="27" spans="2:15" x14ac:dyDescent="0.25">
      <c r="B27" s="129">
        <v>39783</v>
      </c>
      <c r="C27" s="163">
        <v>1833</v>
      </c>
      <c r="D27" s="163">
        <v>2607</v>
      </c>
      <c r="E27" s="163">
        <v>757</v>
      </c>
      <c r="F27" s="163"/>
      <c r="G27" s="163">
        <v>387</v>
      </c>
      <c r="H27" s="163">
        <v>148</v>
      </c>
      <c r="I27" s="163">
        <v>662</v>
      </c>
      <c r="J27" s="163">
        <v>221</v>
      </c>
      <c r="K27" s="163">
        <v>5447</v>
      </c>
      <c r="L27" s="163">
        <v>44</v>
      </c>
      <c r="M27" s="163">
        <v>124</v>
      </c>
      <c r="N27" s="163">
        <v>36</v>
      </c>
      <c r="O27" s="165">
        <v>12266</v>
      </c>
    </row>
    <row r="28" spans="2:15" x14ac:dyDescent="0.25">
      <c r="B28" s="129">
        <v>39814</v>
      </c>
      <c r="C28" s="163">
        <v>1497</v>
      </c>
      <c r="D28" s="163">
        <v>1997</v>
      </c>
      <c r="E28" s="163">
        <v>613</v>
      </c>
      <c r="F28" s="163"/>
      <c r="G28" s="163">
        <v>332</v>
      </c>
      <c r="H28" s="163">
        <v>65</v>
      </c>
      <c r="I28" s="163">
        <v>534</v>
      </c>
      <c r="J28" s="163">
        <v>208</v>
      </c>
      <c r="K28" s="163">
        <v>7688</v>
      </c>
      <c r="L28" s="163">
        <v>42</v>
      </c>
      <c r="M28" s="163">
        <v>85</v>
      </c>
      <c r="N28" s="163">
        <v>41</v>
      </c>
      <c r="O28" s="165">
        <v>13102</v>
      </c>
    </row>
    <row r="29" spans="2:15" x14ac:dyDescent="0.25">
      <c r="B29" s="129">
        <v>39845</v>
      </c>
      <c r="C29" s="163">
        <v>708</v>
      </c>
      <c r="D29" s="163">
        <v>1182</v>
      </c>
      <c r="E29" s="163">
        <v>621</v>
      </c>
      <c r="F29" s="163"/>
      <c r="G29" s="163">
        <v>366</v>
      </c>
      <c r="H29" s="163">
        <v>70</v>
      </c>
      <c r="I29" s="163">
        <v>399</v>
      </c>
      <c r="J29" s="163">
        <v>281</v>
      </c>
      <c r="K29" s="163">
        <v>8193</v>
      </c>
      <c r="L29" s="163">
        <v>61</v>
      </c>
      <c r="M29" s="163">
        <v>139</v>
      </c>
      <c r="N29" s="163">
        <v>361</v>
      </c>
      <c r="O29" s="165">
        <v>12381</v>
      </c>
    </row>
    <row r="30" spans="2:15" x14ac:dyDescent="0.25">
      <c r="B30" s="129">
        <v>39873</v>
      </c>
      <c r="C30" s="163">
        <v>943</v>
      </c>
      <c r="D30" s="163">
        <v>1646</v>
      </c>
      <c r="E30" s="163">
        <v>652</v>
      </c>
      <c r="F30" s="163"/>
      <c r="G30" s="163">
        <v>334</v>
      </c>
      <c r="H30" s="163">
        <v>104</v>
      </c>
      <c r="I30" s="163">
        <v>548</v>
      </c>
      <c r="J30" s="163">
        <v>229</v>
      </c>
      <c r="K30" s="163">
        <v>9204</v>
      </c>
      <c r="L30" s="163">
        <v>84</v>
      </c>
      <c r="M30" s="163">
        <v>130</v>
      </c>
      <c r="N30" s="163">
        <v>79</v>
      </c>
      <c r="O30" s="165">
        <v>13953</v>
      </c>
    </row>
    <row r="31" spans="2:15" x14ac:dyDescent="0.25">
      <c r="B31" s="129">
        <v>39904</v>
      </c>
      <c r="C31" s="163">
        <v>1459</v>
      </c>
      <c r="D31" s="163">
        <v>2330</v>
      </c>
      <c r="E31" s="163">
        <v>496</v>
      </c>
      <c r="F31" s="163"/>
      <c r="G31" s="163">
        <v>386</v>
      </c>
      <c r="H31" s="163">
        <v>77</v>
      </c>
      <c r="I31" s="163">
        <v>730</v>
      </c>
      <c r="J31" s="163">
        <v>255</v>
      </c>
      <c r="K31" s="163">
        <v>8360</v>
      </c>
      <c r="L31" s="163">
        <v>46</v>
      </c>
      <c r="M31" s="163">
        <v>107</v>
      </c>
      <c r="N31" s="163">
        <v>77</v>
      </c>
      <c r="O31" s="165">
        <v>14323</v>
      </c>
    </row>
    <row r="32" spans="2:15" x14ac:dyDescent="0.25">
      <c r="B32" s="129">
        <v>39934</v>
      </c>
      <c r="C32" s="163">
        <v>1266</v>
      </c>
      <c r="D32" s="163">
        <v>2459</v>
      </c>
      <c r="E32" s="163">
        <v>538</v>
      </c>
      <c r="F32" s="163"/>
      <c r="G32" s="163">
        <v>372</v>
      </c>
      <c r="H32" s="163">
        <v>88</v>
      </c>
      <c r="I32" s="163">
        <v>374</v>
      </c>
      <c r="J32" s="163">
        <v>216</v>
      </c>
      <c r="K32" s="163">
        <v>8362</v>
      </c>
      <c r="L32" s="163">
        <v>82</v>
      </c>
      <c r="M32" s="163">
        <v>78</v>
      </c>
      <c r="N32" s="163">
        <v>393</v>
      </c>
      <c r="O32" s="165">
        <v>14228</v>
      </c>
    </row>
    <row r="33" spans="2:15" x14ac:dyDescent="0.25">
      <c r="B33" s="129">
        <v>39965</v>
      </c>
      <c r="C33" s="163">
        <v>1670</v>
      </c>
      <c r="D33" s="163">
        <v>2554</v>
      </c>
      <c r="E33" s="163">
        <v>557</v>
      </c>
      <c r="F33" s="163"/>
      <c r="G33" s="163">
        <v>356</v>
      </c>
      <c r="H33" s="163">
        <v>74</v>
      </c>
      <c r="I33" s="163">
        <v>665</v>
      </c>
      <c r="J33" s="163">
        <v>211</v>
      </c>
      <c r="K33" s="163">
        <v>9317</v>
      </c>
      <c r="L33" s="163">
        <v>73</v>
      </c>
      <c r="M33" s="163">
        <v>41</v>
      </c>
      <c r="N33" s="163">
        <v>55</v>
      </c>
      <c r="O33" s="165">
        <v>15573</v>
      </c>
    </row>
    <row r="34" spans="2:15" x14ac:dyDescent="0.25">
      <c r="B34" s="129">
        <v>39995</v>
      </c>
      <c r="C34" s="163">
        <v>1880</v>
      </c>
      <c r="D34" s="163">
        <v>2915</v>
      </c>
      <c r="E34" s="163">
        <v>697</v>
      </c>
      <c r="F34" s="163"/>
      <c r="G34" s="163">
        <v>437</v>
      </c>
      <c r="H34" s="163">
        <v>93</v>
      </c>
      <c r="I34" s="163">
        <v>439</v>
      </c>
      <c r="J34" s="163">
        <v>313</v>
      </c>
      <c r="K34" s="163">
        <v>4463</v>
      </c>
      <c r="L34" s="163">
        <v>85</v>
      </c>
      <c r="M34" s="163">
        <v>94</v>
      </c>
      <c r="N34" s="163">
        <v>474</v>
      </c>
      <c r="O34" s="165">
        <v>11890</v>
      </c>
    </row>
    <row r="35" spans="2:15" x14ac:dyDescent="0.25">
      <c r="B35" s="129">
        <v>40026</v>
      </c>
      <c r="C35" s="163">
        <v>1298</v>
      </c>
      <c r="D35" s="163">
        <v>1955</v>
      </c>
      <c r="E35" s="163">
        <v>549</v>
      </c>
      <c r="F35" s="163"/>
      <c r="G35" s="163">
        <v>397</v>
      </c>
      <c r="H35" s="163">
        <v>69</v>
      </c>
      <c r="I35" s="163">
        <v>523</v>
      </c>
      <c r="J35" s="163">
        <v>223</v>
      </c>
      <c r="K35" s="163">
        <v>3824</v>
      </c>
      <c r="L35" s="163">
        <v>81</v>
      </c>
      <c r="M35" s="163">
        <v>56</v>
      </c>
      <c r="N35" s="163">
        <v>36</v>
      </c>
      <c r="O35" s="165">
        <v>9011</v>
      </c>
    </row>
    <row r="36" spans="2:15" x14ac:dyDescent="0.25">
      <c r="B36" s="129">
        <v>40057</v>
      </c>
      <c r="C36" s="163">
        <v>1523</v>
      </c>
      <c r="D36" s="163">
        <v>2434</v>
      </c>
      <c r="E36" s="163">
        <v>613</v>
      </c>
      <c r="F36" s="163"/>
      <c r="G36" s="163">
        <v>338</v>
      </c>
      <c r="H36" s="163">
        <v>92</v>
      </c>
      <c r="I36" s="163">
        <v>398</v>
      </c>
      <c r="J36" s="163">
        <v>233</v>
      </c>
      <c r="K36" s="163">
        <v>7283</v>
      </c>
      <c r="L36" s="163">
        <v>75</v>
      </c>
      <c r="M36" s="163">
        <v>95</v>
      </c>
      <c r="N36" s="163">
        <v>368</v>
      </c>
      <c r="O36" s="165">
        <v>13452</v>
      </c>
    </row>
    <row r="37" spans="2:15" x14ac:dyDescent="0.25">
      <c r="B37" s="129">
        <v>40087</v>
      </c>
      <c r="C37" s="163">
        <v>1442</v>
      </c>
      <c r="D37" s="163">
        <v>2477</v>
      </c>
      <c r="E37" s="163">
        <v>578</v>
      </c>
      <c r="F37" s="163"/>
      <c r="G37" s="163">
        <v>291</v>
      </c>
      <c r="H37" s="163">
        <v>86</v>
      </c>
      <c r="I37" s="163">
        <v>355</v>
      </c>
      <c r="J37" s="163">
        <v>245</v>
      </c>
      <c r="K37" s="163">
        <v>5707</v>
      </c>
      <c r="L37" s="163">
        <v>96</v>
      </c>
      <c r="M37" s="163">
        <v>123</v>
      </c>
      <c r="N37" s="163">
        <v>328</v>
      </c>
      <c r="O37" s="165">
        <v>11728</v>
      </c>
    </row>
    <row r="38" spans="2:15" x14ac:dyDescent="0.25">
      <c r="B38" s="129">
        <v>40118</v>
      </c>
      <c r="C38" s="163">
        <v>1470</v>
      </c>
      <c r="D38" s="163">
        <v>2678</v>
      </c>
      <c r="E38" s="163">
        <v>684</v>
      </c>
      <c r="F38" s="163"/>
      <c r="G38" s="163">
        <v>521</v>
      </c>
      <c r="H38" s="163">
        <v>105</v>
      </c>
      <c r="I38" s="163">
        <v>430</v>
      </c>
      <c r="J38" s="163">
        <v>240</v>
      </c>
      <c r="K38" s="163">
        <v>9332</v>
      </c>
      <c r="L38" s="163">
        <v>71</v>
      </c>
      <c r="M38" s="163">
        <v>96</v>
      </c>
      <c r="N38" s="163">
        <v>306</v>
      </c>
      <c r="O38" s="165">
        <v>15933</v>
      </c>
    </row>
    <row r="39" spans="2:15" x14ac:dyDescent="0.25">
      <c r="B39" s="129">
        <v>40148</v>
      </c>
      <c r="C39" s="163">
        <v>1774</v>
      </c>
      <c r="D39" s="163">
        <v>2972</v>
      </c>
      <c r="E39" s="163">
        <v>522</v>
      </c>
      <c r="F39" s="163"/>
      <c r="G39" s="163">
        <v>353</v>
      </c>
      <c r="H39" s="163">
        <v>134</v>
      </c>
      <c r="I39" s="163">
        <v>642</v>
      </c>
      <c r="J39" s="163">
        <v>229</v>
      </c>
      <c r="K39" s="163">
        <v>9418</v>
      </c>
      <c r="L39" s="163">
        <v>67</v>
      </c>
      <c r="M39" s="163">
        <v>71</v>
      </c>
      <c r="N39" s="163">
        <v>57</v>
      </c>
      <c r="O39" s="165">
        <v>16239</v>
      </c>
    </row>
    <row r="40" spans="2:15" x14ac:dyDescent="0.25">
      <c r="B40" s="129">
        <v>40179</v>
      </c>
      <c r="C40" s="163">
        <v>1364</v>
      </c>
      <c r="D40" s="163">
        <v>2685</v>
      </c>
      <c r="E40" s="163">
        <v>519</v>
      </c>
      <c r="F40" s="163"/>
      <c r="G40" s="163">
        <v>363</v>
      </c>
      <c r="H40" s="163">
        <v>56</v>
      </c>
      <c r="I40" s="163">
        <v>363</v>
      </c>
      <c r="J40" s="163">
        <v>216</v>
      </c>
      <c r="K40" s="163">
        <v>9286</v>
      </c>
      <c r="L40" s="163">
        <v>59</v>
      </c>
      <c r="M40" s="163">
        <v>104</v>
      </c>
      <c r="N40" s="163">
        <v>298</v>
      </c>
      <c r="O40" s="165">
        <v>15313</v>
      </c>
    </row>
    <row r="41" spans="2:15" x14ac:dyDescent="0.25">
      <c r="B41" s="129">
        <v>40210</v>
      </c>
      <c r="C41" s="163">
        <v>675</v>
      </c>
      <c r="D41" s="163">
        <v>1593</v>
      </c>
      <c r="E41" s="163">
        <v>566</v>
      </c>
      <c r="F41" s="163"/>
      <c r="G41" s="163">
        <v>424</v>
      </c>
      <c r="H41" s="163">
        <v>78</v>
      </c>
      <c r="I41" s="163">
        <v>420</v>
      </c>
      <c r="J41" s="163">
        <v>206</v>
      </c>
      <c r="K41" s="163">
        <v>12198</v>
      </c>
      <c r="L41" s="163">
        <v>121</v>
      </c>
      <c r="M41" s="163">
        <v>94</v>
      </c>
      <c r="N41" s="163">
        <v>399</v>
      </c>
      <c r="O41" s="165">
        <v>16774</v>
      </c>
    </row>
    <row r="42" spans="2:15" x14ac:dyDescent="0.25">
      <c r="B42" s="129">
        <v>40238</v>
      </c>
      <c r="C42" s="163">
        <v>963</v>
      </c>
      <c r="D42" s="163">
        <v>2356</v>
      </c>
      <c r="E42" s="163">
        <v>591</v>
      </c>
      <c r="F42" s="163"/>
      <c r="G42" s="163">
        <v>270</v>
      </c>
      <c r="H42" s="163">
        <v>83</v>
      </c>
      <c r="I42" s="163">
        <v>491</v>
      </c>
      <c r="J42" s="163">
        <v>213</v>
      </c>
      <c r="K42" s="163">
        <v>10259</v>
      </c>
      <c r="L42" s="163">
        <v>82</v>
      </c>
      <c r="M42" s="163">
        <v>147</v>
      </c>
      <c r="N42" s="163">
        <v>296</v>
      </c>
      <c r="O42" s="165">
        <v>15751</v>
      </c>
    </row>
    <row r="43" spans="2:15" x14ac:dyDescent="0.25">
      <c r="B43" s="129">
        <v>40269</v>
      </c>
      <c r="C43" s="163">
        <v>1202</v>
      </c>
      <c r="D43" s="163">
        <v>2351</v>
      </c>
      <c r="E43" s="163">
        <v>472</v>
      </c>
      <c r="F43" s="163"/>
      <c r="G43" s="163">
        <v>297</v>
      </c>
      <c r="H43" s="163">
        <v>90</v>
      </c>
      <c r="I43" s="163">
        <v>405</v>
      </c>
      <c r="J43" s="163">
        <v>273</v>
      </c>
      <c r="K43" s="163">
        <v>9806</v>
      </c>
      <c r="L43" s="163">
        <v>83</v>
      </c>
      <c r="M43" s="163">
        <v>94</v>
      </c>
      <c r="N43" s="163">
        <v>962</v>
      </c>
      <c r="O43" s="165">
        <v>16035</v>
      </c>
    </row>
    <row r="44" spans="2:15" x14ac:dyDescent="0.25">
      <c r="B44" s="129">
        <v>40299</v>
      </c>
      <c r="C44" s="163">
        <v>1301</v>
      </c>
      <c r="D44" s="163">
        <v>3202</v>
      </c>
      <c r="E44" s="163">
        <v>558</v>
      </c>
      <c r="F44" s="163"/>
      <c r="G44" s="163">
        <v>286</v>
      </c>
      <c r="H44" s="163">
        <v>98</v>
      </c>
      <c r="I44" s="163">
        <v>329</v>
      </c>
      <c r="J44" s="163">
        <v>179</v>
      </c>
      <c r="K44" s="163">
        <v>7061</v>
      </c>
      <c r="L44" s="163">
        <v>140</v>
      </c>
      <c r="M44" s="163">
        <v>65</v>
      </c>
      <c r="N44" s="163">
        <v>343</v>
      </c>
      <c r="O44" s="165">
        <v>13562</v>
      </c>
    </row>
    <row r="45" spans="2:15" x14ac:dyDescent="0.25">
      <c r="B45" s="129">
        <v>40330</v>
      </c>
      <c r="C45" s="163">
        <v>1438</v>
      </c>
      <c r="D45" s="163">
        <v>3355</v>
      </c>
      <c r="E45" s="163">
        <v>619</v>
      </c>
      <c r="F45" s="163"/>
      <c r="G45" s="163">
        <v>226</v>
      </c>
      <c r="H45" s="163">
        <v>86</v>
      </c>
      <c r="I45" s="163">
        <v>380</v>
      </c>
      <c r="J45" s="163">
        <v>180</v>
      </c>
      <c r="K45" s="163">
        <v>9596</v>
      </c>
      <c r="L45" s="163">
        <v>127</v>
      </c>
      <c r="M45" s="163">
        <v>77</v>
      </c>
      <c r="N45" s="163">
        <v>269</v>
      </c>
      <c r="O45" s="165">
        <v>16353</v>
      </c>
    </row>
    <row r="46" spans="2:15" x14ac:dyDescent="0.25">
      <c r="B46" s="129">
        <v>40360</v>
      </c>
      <c r="C46" s="163">
        <v>1387</v>
      </c>
      <c r="D46" s="163">
        <v>3339</v>
      </c>
      <c r="E46" s="163">
        <v>598</v>
      </c>
      <c r="F46" s="163"/>
      <c r="G46" s="163">
        <v>239</v>
      </c>
      <c r="H46" s="163">
        <v>131</v>
      </c>
      <c r="I46" s="163">
        <v>545</v>
      </c>
      <c r="J46" s="163">
        <v>199</v>
      </c>
      <c r="K46" s="163">
        <v>8160</v>
      </c>
      <c r="L46" s="163">
        <v>106</v>
      </c>
      <c r="M46" s="163">
        <v>83</v>
      </c>
      <c r="N46" s="163">
        <v>65</v>
      </c>
      <c r="O46" s="165">
        <v>14852</v>
      </c>
    </row>
    <row r="47" spans="2:15" x14ac:dyDescent="0.25">
      <c r="B47" s="129">
        <v>40391</v>
      </c>
      <c r="C47" s="163">
        <v>1387</v>
      </c>
      <c r="D47" s="163">
        <v>3420</v>
      </c>
      <c r="E47" s="163">
        <v>529</v>
      </c>
      <c r="F47" s="163"/>
      <c r="G47" s="163">
        <v>230</v>
      </c>
      <c r="H47" s="163">
        <v>92</v>
      </c>
      <c r="I47" s="163">
        <v>296</v>
      </c>
      <c r="J47" s="163">
        <v>166</v>
      </c>
      <c r="K47" s="163">
        <v>9052</v>
      </c>
      <c r="L47" s="163">
        <v>129</v>
      </c>
      <c r="M47" s="163">
        <v>75</v>
      </c>
      <c r="N47" s="163">
        <v>209</v>
      </c>
      <c r="O47" s="165">
        <v>15585</v>
      </c>
    </row>
    <row r="48" spans="2:15" x14ac:dyDescent="0.25">
      <c r="B48" s="129">
        <v>40422</v>
      </c>
      <c r="C48" s="163">
        <v>1561</v>
      </c>
      <c r="D48" s="163">
        <v>3505</v>
      </c>
      <c r="E48" s="163">
        <v>652</v>
      </c>
      <c r="F48" s="163"/>
      <c r="G48" s="163">
        <v>247</v>
      </c>
      <c r="H48" s="163">
        <v>105</v>
      </c>
      <c r="I48" s="163">
        <v>351</v>
      </c>
      <c r="J48" s="163">
        <v>168</v>
      </c>
      <c r="K48" s="163">
        <v>9115</v>
      </c>
      <c r="L48" s="163">
        <v>213</v>
      </c>
      <c r="M48" s="163">
        <v>146</v>
      </c>
      <c r="N48" s="163">
        <v>263</v>
      </c>
      <c r="O48" s="165">
        <v>16326</v>
      </c>
    </row>
    <row r="49" spans="2:15" x14ac:dyDescent="0.25">
      <c r="B49" s="129">
        <v>40452</v>
      </c>
      <c r="C49" s="163">
        <v>1435</v>
      </c>
      <c r="D49" s="163">
        <v>3291</v>
      </c>
      <c r="E49" s="163">
        <v>524</v>
      </c>
      <c r="F49" s="163"/>
      <c r="G49" s="163">
        <v>198</v>
      </c>
      <c r="H49" s="163">
        <v>125</v>
      </c>
      <c r="I49" s="163">
        <v>346</v>
      </c>
      <c r="J49" s="163">
        <v>224</v>
      </c>
      <c r="K49" s="163">
        <v>11123</v>
      </c>
      <c r="L49" s="163">
        <v>134</v>
      </c>
      <c r="M49" s="163">
        <v>87</v>
      </c>
      <c r="N49" s="163">
        <v>244</v>
      </c>
      <c r="O49" s="165">
        <v>17731</v>
      </c>
    </row>
    <row r="50" spans="2:15" x14ac:dyDescent="0.25">
      <c r="B50" s="129">
        <v>40483</v>
      </c>
      <c r="C50" s="163">
        <v>1567</v>
      </c>
      <c r="D50" s="163">
        <v>3850</v>
      </c>
      <c r="E50" s="163">
        <v>724</v>
      </c>
      <c r="F50" s="163"/>
      <c r="G50" s="163">
        <v>286</v>
      </c>
      <c r="H50" s="163">
        <v>158</v>
      </c>
      <c r="I50" s="163">
        <v>587</v>
      </c>
      <c r="J50" s="163">
        <v>171</v>
      </c>
      <c r="K50" s="163">
        <v>12806</v>
      </c>
      <c r="L50" s="163">
        <v>217</v>
      </c>
      <c r="M50" s="163">
        <v>134</v>
      </c>
      <c r="N50" s="163">
        <v>96</v>
      </c>
      <c r="O50" s="165">
        <v>20596</v>
      </c>
    </row>
    <row r="51" spans="2:15" x14ac:dyDescent="0.25">
      <c r="B51" s="129">
        <v>40513</v>
      </c>
      <c r="C51" s="163">
        <v>1874</v>
      </c>
      <c r="D51" s="163">
        <v>4602</v>
      </c>
      <c r="E51" s="163">
        <v>623</v>
      </c>
      <c r="F51" s="163"/>
      <c r="G51" s="163">
        <v>534</v>
      </c>
      <c r="H51" s="163">
        <v>164</v>
      </c>
      <c r="I51" s="163">
        <v>411</v>
      </c>
      <c r="J51" s="163">
        <v>184</v>
      </c>
      <c r="K51" s="163">
        <v>8804</v>
      </c>
      <c r="L51" s="163">
        <v>110</v>
      </c>
      <c r="M51" s="163">
        <v>61</v>
      </c>
      <c r="N51" s="163">
        <v>204</v>
      </c>
      <c r="O51" s="165">
        <v>17571</v>
      </c>
    </row>
    <row r="52" spans="2:15" x14ac:dyDescent="0.25">
      <c r="B52" s="129">
        <v>40544</v>
      </c>
      <c r="C52" s="163">
        <v>804</v>
      </c>
      <c r="D52" s="163">
        <v>1986</v>
      </c>
      <c r="E52" s="163">
        <v>547</v>
      </c>
      <c r="F52" s="163"/>
      <c r="G52" s="163">
        <v>226</v>
      </c>
      <c r="H52" s="163">
        <v>93</v>
      </c>
      <c r="I52" s="163">
        <v>333</v>
      </c>
      <c r="J52" s="163">
        <v>151</v>
      </c>
      <c r="K52" s="163">
        <v>14156</v>
      </c>
      <c r="L52" s="163">
        <v>181</v>
      </c>
      <c r="M52" s="163">
        <v>67</v>
      </c>
      <c r="N52" s="163">
        <v>261</v>
      </c>
      <c r="O52" s="165">
        <v>18805</v>
      </c>
    </row>
    <row r="53" spans="2:15" x14ac:dyDescent="0.25">
      <c r="B53" s="129">
        <v>40575</v>
      </c>
      <c r="C53" s="163">
        <v>384</v>
      </c>
      <c r="D53" s="163">
        <v>1047</v>
      </c>
      <c r="E53" s="163">
        <v>484</v>
      </c>
      <c r="F53" s="163"/>
      <c r="G53" s="163">
        <v>44</v>
      </c>
      <c r="H53" s="163">
        <v>125</v>
      </c>
      <c r="I53" s="163">
        <v>302</v>
      </c>
      <c r="J53" s="163">
        <v>205</v>
      </c>
      <c r="K53" s="163">
        <v>13089</v>
      </c>
      <c r="L53" s="163">
        <v>168</v>
      </c>
      <c r="M53" s="163">
        <v>117</v>
      </c>
      <c r="N53" s="163">
        <v>235</v>
      </c>
      <c r="O53" s="165">
        <v>16200</v>
      </c>
    </row>
    <row r="54" spans="2:15" x14ac:dyDescent="0.25">
      <c r="B54" s="129">
        <v>40603</v>
      </c>
      <c r="C54" s="163">
        <v>841</v>
      </c>
      <c r="D54" s="163">
        <v>2549</v>
      </c>
      <c r="E54" s="163">
        <v>678</v>
      </c>
      <c r="F54" s="163"/>
      <c r="G54" s="163">
        <v>30</v>
      </c>
      <c r="H54" s="163">
        <v>140</v>
      </c>
      <c r="I54" s="163">
        <v>488</v>
      </c>
      <c r="J54" s="163">
        <v>183</v>
      </c>
      <c r="K54" s="163">
        <v>11167</v>
      </c>
      <c r="L54" s="163">
        <v>199</v>
      </c>
      <c r="M54" s="163">
        <v>137</v>
      </c>
      <c r="N54" s="163">
        <v>85</v>
      </c>
      <c r="O54" s="165">
        <v>16497</v>
      </c>
    </row>
    <row r="55" spans="2:15" x14ac:dyDescent="0.25">
      <c r="B55" s="129">
        <v>40634</v>
      </c>
      <c r="C55" s="163">
        <v>768</v>
      </c>
      <c r="D55" s="163">
        <v>2207</v>
      </c>
      <c r="E55" s="163">
        <v>603</v>
      </c>
      <c r="F55" s="163"/>
      <c r="G55" s="163">
        <v>21</v>
      </c>
      <c r="H55" s="163">
        <v>113</v>
      </c>
      <c r="I55" s="163">
        <v>547</v>
      </c>
      <c r="J55" s="163">
        <v>156</v>
      </c>
      <c r="K55" s="163">
        <v>7657</v>
      </c>
      <c r="L55" s="163">
        <v>313</v>
      </c>
      <c r="M55" s="163">
        <v>97</v>
      </c>
      <c r="N55" s="163">
        <v>78</v>
      </c>
      <c r="O55" s="165">
        <v>12560</v>
      </c>
    </row>
    <row r="56" spans="2:15" x14ac:dyDescent="0.25">
      <c r="B56" s="129">
        <v>40664</v>
      </c>
      <c r="C56" s="163">
        <v>1026</v>
      </c>
      <c r="D56" s="163">
        <v>3024</v>
      </c>
      <c r="E56" s="163">
        <v>650</v>
      </c>
      <c r="F56" s="163"/>
      <c r="G56" s="163">
        <v>14</v>
      </c>
      <c r="H56" s="163">
        <v>92</v>
      </c>
      <c r="I56" s="163">
        <v>505</v>
      </c>
      <c r="J56" s="163">
        <v>224</v>
      </c>
      <c r="K56" s="163">
        <v>9245</v>
      </c>
      <c r="L56" s="163">
        <v>151</v>
      </c>
      <c r="M56" s="163">
        <v>108</v>
      </c>
      <c r="N56" s="163">
        <v>78</v>
      </c>
      <c r="O56" s="165">
        <v>15117</v>
      </c>
    </row>
    <row r="57" spans="2:15" x14ac:dyDescent="0.25">
      <c r="B57" s="129">
        <v>40695</v>
      </c>
      <c r="C57" s="163">
        <v>1339</v>
      </c>
      <c r="D57" s="163">
        <v>3450</v>
      </c>
      <c r="E57" s="163">
        <v>751</v>
      </c>
      <c r="F57" s="163"/>
      <c r="G57" s="163">
        <v>38</v>
      </c>
      <c r="H57" s="163">
        <v>144</v>
      </c>
      <c r="I57" s="163">
        <v>423</v>
      </c>
      <c r="J57" s="163">
        <v>254</v>
      </c>
      <c r="K57" s="163">
        <v>14505</v>
      </c>
      <c r="L57" s="163">
        <v>146</v>
      </c>
      <c r="M57" s="163">
        <v>111</v>
      </c>
      <c r="N57" s="163">
        <v>385</v>
      </c>
      <c r="O57" s="165">
        <v>21546</v>
      </c>
    </row>
    <row r="58" spans="2:15" x14ac:dyDescent="0.25">
      <c r="B58" s="129">
        <v>40725</v>
      </c>
      <c r="C58" s="163">
        <v>1039</v>
      </c>
      <c r="D58" s="163">
        <v>3100</v>
      </c>
      <c r="E58" s="163">
        <v>616</v>
      </c>
      <c r="F58" s="163"/>
      <c r="G58" s="163">
        <v>21</v>
      </c>
      <c r="H58" s="163">
        <v>139</v>
      </c>
      <c r="I58" s="163">
        <v>575</v>
      </c>
      <c r="J58" s="163">
        <v>248</v>
      </c>
      <c r="K58" s="163">
        <v>13079</v>
      </c>
      <c r="L58" s="163">
        <v>150</v>
      </c>
      <c r="M58" s="163">
        <v>74</v>
      </c>
      <c r="N58" s="163">
        <v>87</v>
      </c>
      <c r="O58" s="165">
        <v>19128</v>
      </c>
    </row>
    <row r="59" spans="2:15" x14ac:dyDescent="0.25">
      <c r="B59" s="129">
        <v>40756</v>
      </c>
      <c r="C59" s="163">
        <v>1086</v>
      </c>
      <c r="D59" s="163">
        <v>3288</v>
      </c>
      <c r="E59" s="163">
        <v>759</v>
      </c>
      <c r="F59" s="163"/>
      <c r="G59" s="163">
        <v>19</v>
      </c>
      <c r="H59" s="163">
        <v>173</v>
      </c>
      <c r="I59" s="163">
        <v>439</v>
      </c>
      <c r="J59" s="163">
        <v>253</v>
      </c>
      <c r="K59" s="163">
        <v>12165</v>
      </c>
      <c r="L59" s="163">
        <v>127</v>
      </c>
      <c r="M59" s="163">
        <v>83</v>
      </c>
      <c r="N59" s="163">
        <v>405</v>
      </c>
      <c r="O59" s="165">
        <v>18797</v>
      </c>
    </row>
    <row r="60" spans="2:15" x14ac:dyDescent="0.25">
      <c r="B60" s="129">
        <v>40787</v>
      </c>
      <c r="C60" s="163">
        <v>864</v>
      </c>
      <c r="D60" s="163">
        <v>2439</v>
      </c>
      <c r="E60" s="163">
        <v>634</v>
      </c>
      <c r="F60" s="163"/>
      <c r="G60" s="163">
        <v>7</v>
      </c>
      <c r="H60" s="163">
        <v>100</v>
      </c>
      <c r="I60" s="163">
        <v>326</v>
      </c>
      <c r="J60" s="163">
        <v>252</v>
      </c>
      <c r="K60" s="163">
        <v>11954</v>
      </c>
      <c r="L60" s="163">
        <v>190</v>
      </c>
      <c r="M60" s="163">
        <v>90</v>
      </c>
      <c r="N60" s="163">
        <v>346</v>
      </c>
      <c r="O60" s="165">
        <v>17202</v>
      </c>
    </row>
    <row r="61" spans="2:15" x14ac:dyDescent="0.25">
      <c r="B61" s="129">
        <v>40817</v>
      </c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5"/>
    </row>
    <row r="62" spans="2:15" x14ac:dyDescent="0.25">
      <c r="B62" s="129">
        <v>40848</v>
      </c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5"/>
    </row>
    <row r="63" spans="2:15" x14ac:dyDescent="0.25">
      <c r="B63" s="129">
        <v>40878</v>
      </c>
      <c r="C63" s="163">
        <v>987</v>
      </c>
      <c r="D63" s="163">
        <v>2755</v>
      </c>
      <c r="E63" s="163">
        <v>520</v>
      </c>
      <c r="F63" s="163"/>
      <c r="G63" s="163">
        <v>3</v>
      </c>
      <c r="H63" s="163">
        <v>198</v>
      </c>
      <c r="I63" s="163">
        <v>526</v>
      </c>
      <c r="J63" s="163">
        <v>156</v>
      </c>
      <c r="K63" s="163">
        <v>10186</v>
      </c>
      <c r="L63" s="163">
        <v>93</v>
      </c>
      <c r="M63" s="163">
        <v>74</v>
      </c>
      <c r="N63" s="163">
        <v>61</v>
      </c>
      <c r="O63" s="165">
        <v>15559</v>
      </c>
    </row>
    <row r="64" spans="2:15" x14ac:dyDescent="0.25">
      <c r="B64" s="129">
        <v>40909</v>
      </c>
      <c r="C64" s="163">
        <v>985</v>
      </c>
      <c r="D64" s="163">
        <v>3046</v>
      </c>
      <c r="E64" s="163">
        <v>594</v>
      </c>
      <c r="F64" s="163"/>
      <c r="G64" s="163">
        <v>10</v>
      </c>
      <c r="H64" s="163">
        <v>91</v>
      </c>
      <c r="I64" s="163">
        <v>660</v>
      </c>
      <c r="J64" s="163">
        <v>286</v>
      </c>
      <c r="K64" s="163">
        <v>7655</v>
      </c>
      <c r="L64" s="163">
        <v>217</v>
      </c>
      <c r="M64" s="163">
        <v>89</v>
      </c>
      <c r="N64" s="163">
        <v>97</v>
      </c>
      <c r="O64" s="165">
        <v>13730</v>
      </c>
    </row>
    <row r="65" spans="2:15" x14ac:dyDescent="0.25">
      <c r="B65" s="129">
        <v>40940</v>
      </c>
      <c r="C65" s="163">
        <v>468</v>
      </c>
      <c r="D65" s="163">
        <v>1356</v>
      </c>
      <c r="E65" s="163">
        <v>459</v>
      </c>
      <c r="F65" s="163"/>
      <c r="G65" s="163">
        <v>6</v>
      </c>
      <c r="H65" s="163">
        <v>90</v>
      </c>
      <c r="I65" s="163">
        <v>497</v>
      </c>
      <c r="J65" s="163">
        <v>235</v>
      </c>
      <c r="K65" s="163">
        <v>9205</v>
      </c>
      <c r="L65" s="163">
        <v>133</v>
      </c>
      <c r="M65" s="163">
        <v>129</v>
      </c>
      <c r="N65" s="163">
        <v>115</v>
      </c>
      <c r="O65" s="165">
        <v>12693</v>
      </c>
    </row>
    <row r="66" spans="2:15" x14ac:dyDescent="0.25">
      <c r="B66" s="129">
        <v>40969</v>
      </c>
      <c r="C66" s="163">
        <v>821</v>
      </c>
      <c r="D66" s="163">
        <v>2534</v>
      </c>
      <c r="E66" s="163">
        <v>622</v>
      </c>
      <c r="F66" s="163"/>
      <c r="G66" s="163">
        <v>12</v>
      </c>
      <c r="H66" s="163">
        <v>126</v>
      </c>
      <c r="I66" s="163">
        <v>365</v>
      </c>
      <c r="J66" s="163">
        <v>319</v>
      </c>
      <c r="K66" s="163">
        <v>7600</v>
      </c>
      <c r="L66" s="163">
        <v>194</v>
      </c>
      <c r="M66" s="163">
        <v>148</v>
      </c>
      <c r="N66" s="163">
        <v>325</v>
      </c>
      <c r="O66" s="165">
        <v>13066</v>
      </c>
    </row>
    <row r="67" spans="2:15" x14ac:dyDescent="0.25">
      <c r="B67" s="129">
        <v>41000</v>
      </c>
      <c r="C67" s="163">
        <v>820</v>
      </c>
      <c r="D67" s="163">
        <v>2312</v>
      </c>
      <c r="E67" s="163">
        <v>537</v>
      </c>
      <c r="F67" s="163"/>
      <c r="G67" s="163">
        <v>1</v>
      </c>
      <c r="H67" s="163">
        <v>122</v>
      </c>
      <c r="I67" s="163">
        <v>609</v>
      </c>
      <c r="J67" s="163">
        <v>255</v>
      </c>
      <c r="K67" s="163">
        <v>3336</v>
      </c>
      <c r="L67" s="163">
        <v>79</v>
      </c>
      <c r="M67" s="163">
        <v>93</v>
      </c>
      <c r="N67" s="163">
        <v>93</v>
      </c>
      <c r="O67" s="165">
        <v>8257</v>
      </c>
    </row>
    <row r="68" spans="2:15" x14ac:dyDescent="0.25">
      <c r="B68" s="129">
        <v>41030</v>
      </c>
      <c r="C68" s="163">
        <v>799</v>
      </c>
      <c r="D68" s="163">
        <v>2573</v>
      </c>
      <c r="E68" s="163">
        <v>692</v>
      </c>
      <c r="F68" s="163"/>
      <c r="G68" s="163">
        <v>2</v>
      </c>
      <c r="H68" s="163">
        <v>142</v>
      </c>
      <c r="I68" s="163">
        <v>807</v>
      </c>
      <c r="J68" s="163">
        <v>348</v>
      </c>
      <c r="K68" s="163">
        <v>10946</v>
      </c>
      <c r="L68" s="163">
        <v>131</v>
      </c>
      <c r="M68" s="163">
        <v>104</v>
      </c>
      <c r="N68" s="163">
        <v>108</v>
      </c>
      <c r="O68" s="165">
        <v>16652</v>
      </c>
    </row>
    <row r="69" spans="2:15" x14ac:dyDescent="0.25">
      <c r="B69" s="129">
        <v>41061</v>
      </c>
      <c r="C69" s="163">
        <v>1562</v>
      </c>
      <c r="D69" s="163">
        <v>5045</v>
      </c>
      <c r="E69" s="163">
        <v>730</v>
      </c>
      <c r="F69" s="163"/>
      <c r="G69" s="163">
        <v>1</v>
      </c>
      <c r="H69" s="163">
        <v>102</v>
      </c>
      <c r="I69" s="163">
        <v>761</v>
      </c>
      <c r="J69" s="163">
        <v>365</v>
      </c>
      <c r="K69" s="163">
        <v>6130</v>
      </c>
      <c r="L69" s="163">
        <v>167</v>
      </c>
      <c r="M69" s="163">
        <v>132</v>
      </c>
      <c r="N69" s="163">
        <v>96</v>
      </c>
      <c r="O69" s="165">
        <v>15091</v>
      </c>
    </row>
    <row r="70" spans="2:15" x14ac:dyDescent="0.25">
      <c r="B70" s="129">
        <v>41091</v>
      </c>
      <c r="C70" s="163">
        <v>1300</v>
      </c>
      <c r="D70" s="163">
        <v>4198</v>
      </c>
      <c r="E70" s="163">
        <v>805</v>
      </c>
      <c r="F70" s="163"/>
      <c r="G70" s="163">
        <v>13</v>
      </c>
      <c r="H70" s="163">
        <v>143</v>
      </c>
      <c r="I70" s="163">
        <v>426</v>
      </c>
      <c r="J70" s="163">
        <v>452</v>
      </c>
      <c r="K70" s="163">
        <v>14587</v>
      </c>
      <c r="L70" s="163">
        <v>125</v>
      </c>
      <c r="M70" s="163">
        <v>71</v>
      </c>
      <c r="N70" s="163">
        <v>457</v>
      </c>
      <c r="O70" s="165">
        <v>22577</v>
      </c>
    </row>
    <row r="71" spans="2:15" x14ac:dyDescent="0.25">
      <c r="B71" s="129">
        <v>41122</v>
      </c>
      <c r="C71" s="163">
        <v>1170</v>
      </c>
      <c r="D71" s="163">
        <v>3478</v>
      </c>
      <c r="E71" s="163">
        <v>652</v>
      </c>
      <c r="F71" s="163"/>
      <c r="G71" s="163">
        <v>15</v>
      </c>
      <c r="H71" s="163">
        <v>159</v>
      </c>
      <c r="I71" s="163">
        <v>777</v>
      </c>
      <c r="J71" s="163">
        <v>262</v>
      </c>
      <c r="K71" s="163">
        <v>9989</v>
      </c>
      <c r="L71" s="163">
        <v>181</v>
      </c>
      <c r="M71" s="163">
        <v>192</v>
      </c>
      <c r="N71" s="163">
        <v>95</v>
      </c>
      <c r="O71" s="165">
        <v>16970</v>
      </c>
    </row>
    <row r="72" spans="2:15" x14ac:dyDescent="0.25">
      <c r="B72" s="129">
        <v>41153</v>
      </c>
      <c r="C72" s="163">
        <v>1205</v>
      </c>
      <c r="D72" s="163">
        <v>3752</v>
      </c>
      <c r="E72" s="163">
        <v>734</v>
      </c>
      <c r="F72" s="163"/>
      <c r="G72" s="163">
        <v>3</v>
      </c>
      <c r="H72" s="163">
        <v>168</v>
      </c>
      <c r="I72" s="163">
        <v>806</v>
      </c>
      <c r="J72" s="163">
        <v>350</v>
      </c>
      <c r="K72" s="163">
        <v>4680</v>
      </c>
      <c r="L72" s="163">
        <v>142</v>
      </c>
      <c r="M72" s="163">
        <v>71</v>
      </c>
      <c r="N72" s="163">
        <v>92</v>
      </c>
      <c r="O72" s="165">
        <v>12003</v>
      </c>
    </row>
    <row r="73" spans="2:15" x14ac:dyDescent="0.25">
      <c r="B73" s="129">
        <v>41183</v>
      </c>
      <c r="C73" s="163">
        <v>1429</v>
      </c>
      <c r="D73" s="163">
        <v>3773</v>
      </c>
      <c r="E73" s="163">
        <v>838</v>
      </c>
      <c r="F73" s="163"/>
      <c r="G73" s="163">
        <v>2</v>
      </c>
      <c r="H73" s="163">
        <v>197</v>
      </c>
      <c r="I73" s="163">
        <v>696</v>
      </c>
      <c r="J73" s="163">
        <v>348</v>
      </c>
      <c r="K73" s="163">
        <v>7713</v>
      </c>
      <c r="L73" s="163">
        <v>203</v>
      </c>
      <c r="M73" s="163">
        <v>141</v>
      </c>
      <c r="N73" s="163">
        <v>109</v>
      </c>
      <c r="O73" s="165">
        <v>15449</v>
      </c>
    </row>
    <row r="74" spans="2:15" x14ac:dyDescent="0.25">
      <c r="B74" s="129">
        <v>41214</v>
      </c>
      <c r="C74" s="163">
        <v>1205</v>
      </c>
      <c r="D74" s="163">
        <v>3767</v>
      </c>
      <c r="E74" s="163">
        <v>711</v>
      </c>
      <c r="F74" s="163"/>
      <c r="G74" s="163">
        <v>7</v>
      </c>
      <c r="H74" s="163">
        <v>155</v>
      </c>
      <c r="I74" s="163">
        <v>824</v>
      </c>
      <c r="J74" s="163">
        <v>331</v>
      </c>
      <c r="K74" s="163">
        <v>7463</v>
      </c>
      <c r="L74" s="163">
        <v>187</v>
      </c>
      <c r="M74" s="163">
        <v>118</v>
      </c>
      <c r="N74" s="163">
        <v>99</v>
      </c>
      <c r="O74" s="165">
        <v>14867</v>
      </c>
    </row>
    <row r="75" spans="2:15" x14ac:dyDescent="0.25">
      <c r="B75" s="129">
        <v>41244</v>
      </c>
      <c r="C75" s="163">
        <v>1221</v>
      </c>
      <c r="D75" s="163">
        <v>4028</v>
      </c>
      <c r="E75" s="163">
        <v>571</v>
      </c>
      <c r="F75" s="163"/>
      <c r="G75" s="163">
        <v>6</v>
      </c>
      <c r="H75" s="163">
        <v>143</v>
      </c>
      <c r="I75" s="163">
        <v>593</v>
      </c>
      <c r="J75" s="163">
        <v>210</v>
      </c>
      <c r="K75" s="163">
        <v>4666</v>
      </c>
      <c r="L75" s="163">
        <v>86</v>
      </c>
      <c r="M75" s="163">
        <v>98</v>
      </c>
      <c r="N75" s="163">
        <v>67</v>
      </c>
      <c r="O75" s="165">
        <v>11689</v>
      </c>
    </row>
    <row r="76" spans="2:15" x14ac:dyDescent="0.25">
      <c r="B76" s="129">
        <v>41275</v>
      </c>
      <c r="C76" s="163">
        <v>1151</v>
      </c>
      <c r="D76" s="163">
        <v>3703</v>
      </c>
      <c r="E76" s="163">
        <v>811</v>
      </c>
      <c r="F76" s="163"/>
      <c r="G76" s="163">
        <v>21</v>
      </c>
      <c r="H76" s="163">
        <v>193</v>
      </c>
      <c r="I76" s="163">
        <v>806</v>
      </c>
      <c r="J76" s="163">
        <v>269</v>
      </c>
      <c r="K76" s="163">
        <v>13440</v>
      </c>
      <c r="L76" s="163">
        <v>278</v>
      </c>
      <c r="M76" s="163">
        <v>176</v>
      </c>
      <c r="N76" s="163">
        <v>149</v>
      </c>
      <c r="O76" s="165">
        <v>20997</v>
      </c>
    </row>
    <row r="77" spans="2:15" x14ac:dyDescent="0.25">
      <c r="B77" s="129">
        <v>41306</v>
      </c>
      <c r="C77" s="163">
        <v>511</v>
      </c>
      <c r="D77" s="163">
        <v>1733</v>
      </c>
      <c r="E77" s="163">
        <v>618</v>
      </c>
      <c r="F77" s="163"/>
      <c r="G77" s="163">
        <v>13</v>
      </c>
      <c r="H77" s="163">
        <v>118</v>
      </c>
      <c r="I77" s="163">
        <v>611</v>
      </c>
      <c r="J77" s="163">
        <v>299</v>
      </c>
      <c r="K77" s="163">
        <v>12543</v>
      </c>
      <c r="L77" s="163">
        <v>226</v>
      </c>
      <c r="M77" s="163">
        <v>151</v>
      </c>
      <c r="N77" s="163">
        <v>105</v>
      </c>
      <c r="O77" s="165">
        <v>16928</v>
      </c>
    </row>
    <row r="78" spans="2:15" x14ac:dyDescent="0.25">
      <c r="B78" s="129">
        <v>41334</v>
      </c>
      <c r="C78" s="163">
        <v>787</v>
      </c>
      <c r="D78" s="163">
        <v>2572</v>
      </c>
      <c r="E78" s="163">
        <v>668</v>
      </c>
      <c r="F78" s="163"/>
      <c r="G78" s="163">
        <v>4</v>
      </c>
      <c r="H78" s="163">
        <v>103</v>
      </c>
      <c r="I78" s="163">
        <v>685</v>
      </c>
      <c r="J78" s="163">
        <v>255</v>
      </c>
      <c r="K78" s="163">
        <v>11643</v>
      </c>
      <c r="L78" s="163">
        <v>156</v>
      </c>
      <c r="M78" s="163">
        <v>89</v>
      </c>
      <c r="N78" s="163">
        <v>99</v>
      </c>
      <c r="O78" s="165">
        <v>17061</v>
      </c>
    </row>
    <row r="79" spans="2:15" x14ac:dyDescent="0.25">
      <c r="B79" s="129">
        <v>41365</v>
      </c>
      <c r="C79" s="163">
        <v>1004</v>
      </c>
      <c r="D79" s="163">
        <v>2952</v>
      </c>
      <c r="E79" s="163">
        <v>569</v>
      </c>
      <c r="F79" s="163"/>
      <c r="G79" s="163">
        <v>21</v>
      </c>
      <c r="H79" s="163">
        <v>125</v>
      </c>
      <c r="I79" s="163">
        <v>610</v>
      </c>
      <c r="J79" s="163">
        <v>389</v>
      </c>
      <c r="K79" s="163">
        <v>14055</v>
      </c>
      <c r="L79" s="163">
        <v>173</v>
      </c>
      <c r="M79" s="163">
        <v>192</v>
      </c>
      <c r="N79" s="163">
        <v>113</v>
      </c>
      <c r="O79" s="165">
        <v>20203</v>
      </c>
    </row>
    <row r="80" spans="2:15" x14ac:dyDescent="0.25">
      <c r="B80" s="129">
        <v>41395</v>
      </c>
      <c r="C80" s="163">
        <v>1283</v>
      </c>
      <c r="D80" s="163">
        <v>3880</v>
      </c>
      <c r="E80" s="163">
        <v>873</v>
      </c>
      <c r="F80" s="163"/>
      <c r="G80" s="163">
        <v>19</v>
      </c>
      <c r="H80" s="163">
        <v>195</v>
      </c>
      <c r="I80" s="163">
        <v>853</v>
      </c>
      <c r="J80" s="163">
        <v>366</v>
      </c>
      <c r="K80" s="163">
        <v>17001</v>
      </c>
      <c r="L80" s="163">
        <v>319</v>
      </c>
      <c r="M80" s="163">
        <v>189</v>
      </c>
      <c r="N80" s="163">
        <v>92</v>
      </c>
      <c r="O80" s="165">
        <v>25070</v>
      </c>
    </row>
    <row r="81" spans="2:15" x14ac:dyDescent="0.25">
      <c r="B81" s="129">
        <v>41426</v>
      </c>
      <c r="C81" s="163">
        <v>1471</v>
      </c>
      <c r="D81" s="163">
        <v>4231</v>
      </c>
      <c r="E81" s="163">
        <v>737</v>
      </c>
      <c r="F81" s="163"/>
      <c r="G81" s="163">
        <v>11</v>
      </c>
      <c r="H81" s="163">
        <v>179</v>
      </c>
      <c r="I81" s="163">
        <v>790</v>
      </c>
      <c r="J81" s="163">
        <v>389</v>
      </c>
      <c r="K81" s="163">
        <v>15194</v>
      </c>
      <c r="L81" s="163">
        <v>245</v>
      </c>
      <c r="M81" s="163">
        <v>142</v>
      </c>
      <c r="N81" s="163">
        <v>138</v>
      </c>
      <c r="O81" s="165">
        <v>23527</v>
      </c>
    </row>
    <row r="82" spans="2:15" x14ac:dyDescent="0.25">
      <c r="B82" s="129">
        <v>41456</v>
      </c>
      <c r="C82" s="163">
        <v>1832</v>
      </c>
      <c r="D82" s="163">
        <v>5084</v>
      </c>
      <c r="E82" s="163">
        <v>944</v>
      </c>
      <c r="F82" s="163"/>
      <c r="G82" s="163">
        <v>4</v>
      </c>
      <c r="H82" s="163">
        <v>195</v>
      </c>
      <c r="I82" s="163">
        <v>988</v>
      </c>
      <c r="J82" s="163">
        <v>431</v>
      </c>
      <c r="K82" s="163">
        <v>13176</v>
      </c>
      <c r="L82" s="163">
        <v>287</v>
      </c>
      <c r="M82" s="163">
        <v>160</v>
      </c>
      <c r="N82" s="163">
        <v>122</v>
      </c>
      <c r="O82" s="165">
        <v>23223</v>
      </c>
    </row>
    <row r="83" spans="2:15" x14ac:dyDescent="0.25">
      <c r="B83" s="129">
        <v>41487</v>
      </c>
      <c r="C83" s="163">
        <v>1698</v>
      </c>
      <c r="D83" s="163">
        <v>4993</v>
      </c>
      <c r="E83" s="163">
        <v>866</v>
      </c>
      <c r="F83" s="163"/>
      <c r="G83" s="163">
        <v>4</v>
      </c>
      <c r="H83" s="163">
        <v>181</v>
      </c>
      <c r="I83" s="163">
        <v>849</v>
      </c>
      <c r="J83" s="163">
        <v>357</v>
      </c>
      <c r="K83" s="163">
        <v>5737</v>
      </c>
      <c r="L83" s="163">
        <v>297</v>
      </c>
      <c r="M83" s="163">
        <v>131</v>
      </c>
      <c r="N83" s="163">
        <v>111</v>
      </c>
      <c r="O83" s="165">
        <v>15224</v>
      </c>
    </row>
    <row r="84" spans="2:15" x14ac:dyDescent="0.25">
      <c r="B84" s="129">
        <v>41518</v>
      </c>
      <c r="C84" s="163">
        <v>1678</v>
      </c>
      <c r="D84" s="163">
        <v>4864</v>
      </c>
      <c r="E84" s="163">
        <v>907</v>
      </c>
      <c r="F84" s="163"/>
      <c r="G84" s="163">
        <v>9</v>
      </c>
      <c r="H84" s="163">
        <v>143</v>
      </c>
      <c r="I84" s="163">
        <v>913</v>
      </c>
      <c r="J84" s="163">
        <v>334</v>
      </c>
      <c r="K84" s="163">
        <v>6364</v>
      </c>
      <c r="L84" s="163">
        <v>228</v>
      </c>
      <c r="M84" s="163">
        <v>190</v>
      </c>
      <c r="N84" s="163">
        <v>119</v>
      </c>
      <c r="O84" s="165">
        <v>15749</v>
      </c>
    </row>
    <row r="85" spans="2:15" x14ac:dyDescent="0.25">
      <c r="B85" s="129">
        <v>41548</v>
      </c>
      <c r="C85" s="163">
        <v>1426</v>
      </c>
      <c r="D85" s="163">
        <v>4199</v>
      </c>
      <c r="E85" s="163">
        <v>834</v>
      </c>
      <c r="F85" s="163"/>
      <c r="G85" s="163">
        <v>14</v>
      </c>
      <c r="H85" s="163">
        <v>156</v>
      </c>
      <c r="I85" s="163">
        <v>895</v>
      </c>
      <c r="J85" s="163">
        <v>354</v>
      </c>
      <c r="K85" s="163">
        <v>7309</v>
      </c>
      <c r="L85" s="163">
        <v>318</v>
      </c>
      <c r="M85" s="163">
        <v>156</v>
      </c>
      <c r="N85" s="163">
        <v>142</v>
      </c>
      <c r="O85" s="165">
        <v>15803</v>
      </c>
    </row>
    <row r="86" spans="2:15" x14ac:dyDescent="0.25">
      <c r="B86" s="129">
        <v>41579</v>
      </c>
      <c r="C86" s="163">
        <v>1831</v>
      </c>
      <c r="D86" s="163">
        <v>5491</v>
      </c>
      <c r="E86" s="163">
        <v>1168</v>
      </c>
      <c r="F86" s="163"/>
      <c r="G86" s="163">
        <v>33</v>
      </c>
      <c r="H86" s="163">
        <v>251</v>
      </c>
      <c r="I86" s="163">
        <v>929</v>
      </c>
      <c r="J86" s="163">
        <v>262</v>
      </c>
      <c r="K86" s="163">
        <v>5414</v>
      </c>
      <c r="L86" s="163">
        <v>301</v>
      </c>
      <c r="M86" s="163">
        <v>181</v>
      </c>
      <c r="N86" s="163">
        <v>134</v>
      </c>
      <c r="O86" s="165">
        <v>15995</v>
      </c>
    </row>
    <row r="87" spans="2:15" x14ac:dyDescent="0.25">
      <c r="B87" s="129">
        <v>41609</v>
      </c>
      <c r="C87" s="163">
        <v>1671</v>
      </c>
      <c r="D87" s="163">
        <v>4960</v>
      </c>
      <c r="E87" s="163">
        <v>824</v>
      </c>
      <c r="F87" s="163"/>
      <c r="G87" s="163">
        <v>82</v>
      </c>
      <c r="H87" s="163">
        <v>223</v>
      </c>
      <c r="I87" s="163">
        <v>641</v>
      </c>
      <c r="J87" s="163">
        <v>268</v>
      </c>
      <c r="K87" s="163">
        <v>3182</v>
      </c>
      <c r="L87" s="163">
        <v>275</v>
      </c>
      <c r="M87" s="163">
        <v>145</v>
      </c>
      <c r="N87" s="163">
        <v>127</v>
      </c>
      <c r="O87" s="165">
        <v>12398</v>
      </c>
    </row>
    <row r="88" spans="2:15" x14ac:dyDescent="0.25">
      <c r="B88" s="129">
        <v>41640</v>
      </c>
      <c r="C88" s="163">
        <v>1575</v>
      </c>
      <c r="D88" s="163">
        <v>4611</v>
      </c>
      <c r="E88" s="163">
        <v>956</v>
      </c>
      <c r="F88" s="163"/>
      <c r="G88" s="163">
        <v>4</v>
      </c>
      <c r="H88" s="163">
        <v>110</v>
      </c>
      <c r="I88" s="163">
        <v>751</v>
      </c>
      <c r="J88" s="163">
        <v>251</v>
      </c>
      <c r="K88" s="163">
        <v>6437</v>
      </c>
      <c r="L88" s="163">
        <v>363</v>
      </c>
      <c r="M88" s="163">
        <v>205</v>
      </c>
      <c r="N88" s="163">
        <v>148</v>
      </c>
      <c r="O88" s="165">
        <v>15411</v>
      </c>
    </row>
    <row r="89" spans="2:15" x14ac:dyDescent="0.25">
      <c r="B89" s="129">
        <v>41671</v>
      </c>
      <c r="C89" s="163">
        <v>892</v>
      </c>
      <c r="D89" s="163">
        <v>2729</v>
      </c>
      <c r="E89" s="163">
        <v>1409</v>
      </c>
      <c r="F89" s="163"/>
      <c r="G89" s="163">
        <v>11</v>
      </c>
      <c r="H89" s="163">
        <v>165</v>
      </c>
      <c r="I89" s="163">
        <v>906</v>
      </c>
      <c r="J89" s="163">
        <v>255</v>
      </c>
      <c r="K89" s="163">
        <v>10719</v>
      </c>
      <c r="L89" s="163">
        <v>295</v>
      </c>
      <c r="M89" s="163">
        <v>227</v>
      </c>
      <c r="N89" s="163">
        <v>171</v>
      </c>
      <c r="O89" s="165">
        <v>17779</v>
      </c>
    </row>
    <row r="90" spans="2:15" x14ac:dyDescent="0.25">
      <c r="B90" s="129">
        <v>41699</v>
      </c>
      <c r="C90" s="163">
        <v>1096</v>
      </c>
      <c r="D90" s="163">
        <v>3585</v>
      </c>
      <c r="E90" s="163">
        <v>924</v>
      </c>
      <c r="F90" s="163"/>
      <c r="G90" s="163">
        <v>7</v>
      </c>
      <c r="H90" s="163">
        <v>128</v>
      </c>
      <c r="I90" s="163">
        <v>599</v>
      </c>
      <c r="J90" s="163">
        <v>244</v>
      </c>
      <c r="K90" s="163">
        <v>8367</v>
      </c>
      <c r="L90" s="163">
        <v>271</v>
      </c>
      <c r="M90" s="163">
        <v>171</v>
      </c>
      <c r="N90" s="163">
        <v>237</v>
      </c>
      <c r="O90" s="165">
        <v>15629</v>
      </c>
    </row>
    <row r="91" spans="2:15" x14ac:dyDescent="0.25">
      <c r="B91" s="129">
        <v>41730</v>
      </c>
      <c r="C91" s="163">
        <v>1110</v>
      </c>
      <c r="D91" s="163">
        <v>3492</v>
      </c>
      <c r="E91" s="163">
        <v>794</v>
      </c>
      <c r="F91" s="163"/>
      <c r="G91" s="163">
        <v>12</v>
      </c>
      <c r="H91" s="163">
        <v>132</v>
      </c>
      <c r="I91" s="163">
        <v>721</v>
      </c>
      <c r="J91" s="163">
        <v>204</v>
      </c>
      <c r="K91" s="163">
        <v>5609</v>
      </c>
      <c r="L91" s="163">
        <v>413</v>
      </c>
      <c r="M91" s="163">
        <v>152</v>
      </c>
      <c r="N91" s="163">
        <v>150</v>
      </c>
      <c r="O91" s="165">
        <v>12789</v>
      </c>
    </row>
    <row r="92" spans="2:15" x14ac:dyDescent="0.25">
      <c r="B92" s="129">
        <v>41760</v>
      </c>
      <c r="C92" s="163">
        <v>1316</v>
      </c>
      <c r="D92" s="163">
        <v>4638</v>
      </c>
      <c r="E92" s="163">
        <v>1050</v>
      </c>
      <c r="F92" s="163"/>
      <c r="G92" s="163">
        <v>15</v>
      </c>
      <c r="H92" s="163">
        <v>150</v>
      </c>
      <c r="I92" s="163">
        <v>925</v>
      </c>
      <c r="J92" s="163">
        <v>241</v>
      </c>
      <c r="K92" s="163">
        <v>5203</v>
      </c>
      <c r="L92" s="163">
        <v>261</v>
      </c>
      <c r="M92" s="163">
        <v>145</v>
      </c>
      <c r="N92" s="163">
        <v>165</v>
      </c>
      <c r="O92" s="165">
        <v>14109</v>
      </c>
    </row>
    <row r="93" spans="2:15" x14ac:dyDescent="0.25">
      <c r="B93" s="129">
        <v>41791</v>
      </c>
      <c r="C93" s="163">
        <v>1208</v>
      </c>
      <c r="D93" s="163">
        <v>4068</v>
      </c>
      <c r="E93" s="163">
        <v>862</v>
      </c>
      <c r="F93" s="163"/>
      <c r="G93" s="163">
        <v>9</v>
      </c>
      <c r="H93" s="163">
        <v>165</v>
      </c>
      <c r="I93" s="163">
        <v>824</v>
      </c>
      <c r="J93" s="163">
        <v>216</v>
      </c>
      <c r="K93" s="163">
        <v>6054</v>
      </c>
      <c r="L93" s="163">
        <v>221</v>
      </c>
      <c r="M93" s="163">
        <v>202</v>
      </c>
      <c r="N93" s="163">
        <v>182</v>
      </c>
      <c r="O93" s="165">
        <v>14011</v>
      </c>
    </row>
    <row r="94" spans="2:15" x14ac:dyDescent="0.25">
      <c r="B94" s="129">
        <v>41821</v>
      </c>
      <c r="C94" s="163">
        <v>1497</v>
      </c>
      <c r="D94" s="163">
        <v>4876</v>
      </c>
      <c r="E94" s="163">
        <v>971</v>
      </c>
      <c r="F94" s="163"/>
      <c r="G94" s="163">
        <v>22</v>
      </c>
      <c r="H94" s="163">
        <v>198</v>
      </c>
      <c r="I94" s="163">
        <v>1006</v>
      </c>
      <c r="J94" s="163">
        <v>244</v>
      </c>
      <c r="K94" s="163">
        <v>6962</v>
      </c>
      <c r="L94" s="163">
        <v>229</v>
      </c>
      <c r="M94" s="163">
        <v>224</v>
      </c>
      <c r="N94" s="163">
        <v>261</v>
      </c>
      <c r="O94" s="165">
        <v>16490</v>
      </c>
    </row>
    <row r="95" spans="2:15" x14ac:dyDescent="0.25">
      <c r="B95" s="129">
        <v>41852</v>
      </c>
      <c r="C95" s="163">
        <v>1327</v>
      </c>
      <c r="D95" s="163">
        <v>4610</v>
      </c>
      <c r="E95" s="163">
        <v>1054</v>
      </c>
      <c r="F95" s="163"/>
      <c r="G95" s="163">
        <v>23</v>
      </c>
      <c r="H95" s="163">
        <v>255</v>
      </c>
      <c r="I95" s="163">
        <v>921</v>
      </c>
      <c r="J95" s="163">
        <v>269</v>
      </c>
      <c r="K95" s="163">
        <v>23357</v>
      </c>
      <c r="L95" s="163">
        <v>241</v>
      </c>
      <c r="M95" s="163">
        <v>151</v>
      </c>
      <c r="N95" s="163">
        <v>193</v>
      </c>
      <c r="O95" s="165">
        <v>32401</v>
      </c>
    </row>
    <row r="96" spans="2:15" x14ac:dyDescent="0.25">
      <c r="B96" s="129">
        <v>41883</v>
      </c>
      <c r="C96" s="163">
        <v>1592</v>
      </c>
      <c r="D96" s="163">
        <v>5320</v>
      </c>
      <c r="E96" s="163">
        <v>1113</v>
      </c>
      <c r="F96" s="163"/>
      <c r="G96" s="163">
        <v>12</v>
      </c>
      <c r="H96" s="163">
        <v>228</v>
      </c>
      <c r="I96" s="163">
        <v>1163</v>
      </c>
      <c r="J96" s="163">
        <v>229</v>
      </c>
      <c r="K96" s="163">
        <v>13835</v>
      </c>
      <c r="L96" s="163">
        <v>506</v>
      </c>
      <c r="M96" s="163">
        <v>106</v>
      </c>
      <c r="N96" s="163">
        <v>286</v>
      </c>
      <c r="O96" s="165">
        <v>24390</v>
      </c>
    </row>
    <row r="97" spans="2:15" x14ac:dyDescent="0.25">
      <c r="B97" s="129">
        <v>41913</v>
      </c>
      <c r="C97" s="163">
        <v>1305</v>
      </c>
      <c r="D97" s="163">
        <v>4685</v>
      </c>
      <c r="E97" s="163">
        <v>1111</v>
      </c>
      <c r="F97" s="163"/>
      <c r="G97" s="163" t="s">
        <v>71</v>
      </c>
      <c r="H97" s="163">
        <v>214</v>
      </c>
      <c r="I97" s="163">
        <v>1004</v>
      </c>
      <c r="J97" s="163">
        <v>218</v>
      </c>
      <c r="K97" s="163">
        <v>7835</v>
      </c>
      <c r="L97" s="163">
        <v>341</v>
      </c>
      <c r="M97" s="163">
        <v>160</v>
      </c>
      <c r="N97" s="163">
        <v>341</v>
      </c>
      <c r="O97" s="165">
        <v>17214</v>
      </c>
    </row>
    <row r="98" spans="2:15" x14ac:dyDescent="0.25">
      <c r="B98" s="129">
        <v>41944</v>
      </c>
      <c r="C98" s="163">
        <v>1248</v>
      </c>
      <c r="D98" s="163">
        <v>4582</v>
      </c>
      <c r="E98" s="163">
        <v>1144</v>
      </c>
      <c r="F98" s="163"/>
      <c r="G98" s="163">
        <v>25</v>
      </c>
      <c r="H98" s="163">
        <v>220</v>
      </c>
      <c r="I98" s="163">
        <v>902</v>
      </c>
      <c r="J98" s="163">
        <v>321</v>
      </c>
      <c r="K98" s="163">
        <v>7523</v>
      </c>
      <c r="L98" s="163">
        <v>876</v>
      </c>
      <c r="M98" s="163">
        <v>163</v>
      </c>
      <c r="N98" s="163">
        <v>222</v>
      </c>
      <c r="O98" s="165">
        <v>17226</v>
      </c>
    </row>
    <row r="99" spans="2:15" x14ac:dyDescent="0.25">
      <c r="B99" s="129">
        <v>41974</v>
      </c>
      <c r="C99" s="163">
        <v>1736</v>
      </c>
      <c r="D99" s="163">
        <v>6346</v>
      </c>
      <c r="E99" s="163">
        <v>1180</v>
      </c>
      <c r="F99" s="163"/>
      <c r="G99" s="163">
        <v>73</v>
      </c>
      <c r="H99" s="163">
        <v>245</v>
      </c>
      <c r="I99" s="163">
        <v>959</v>
      </c>
      <c r="J99" s="163">
        <v>233</v>
      </c>
      <c r="K99" s="163">
        <v>9223</v>
      </c>
      <c r="L99" s="163">
        <v>310</v>
      </c>
      <c r="M99" s="163">
        <v>126</v>
      </c>
      <c r="N99" s="163">
        <v>177</v>
      </c>
      <c r="O99" s="165">
        <v>20608</v>
      </c>
    </row>
    <row r="100" spans="2:15" x14ac:dyDescent="0.25">
      <c r="B100" s="129">
        <v>42005</v>
      </c>
      <c r="C100" s="163">
        <v>1125</v>
      </c>
      <c r="D100" s="163">
        <v>4504</v>
      </c>
      <c r="E100" s="163">
        <v>1170</v>
      </c>
      <c r="F100" s="163"/>
      <c r="G100" s="163">
        <v>64</v>
      </c>
      <c r="H100" s="163">
        <v>188</v>
      </c>
      <c r="I100" s="163">
        <v>907</v>
      </c>
      <c r="J100" s="163">
        <v>307</v>
      </c>
      <c r="K100" s="163">
        <v>6262</v>
      </c>
      <c r="L100" s="163">
        <v>436</v>
      </c>
      <c r="M100" s="163">
        <v>173</v>
      </c>
      <c r="N100" s="163">
        <v>230</v>
      </c>
      <c r="O100" s="165">
        <v>15366</v>
      </c>
    </row>
    <row r="101" spans="2:15" x14ac:dyDescent="0.25">
      <c r="B101" s="129">
        <v>42036</v>
      </c>
      <c r="C101" s="163">
        <v>747</v>
      </c>
      <c r="D101" s="163">
        <v>3362</v>
      </c>
      <c r="E101" s="163">
        <v>1223</v>
      </c>
      <c r="F101" s="163"/>
      <c r="G101" s="163">
        <v>37</v>
      </c>
      <c r="H101" s="163">
        <v>191</v>
      </c>
      <c r="I101" s="163">
        <v>817</v>
      </c>
      <c r="J101" s="163">
        <v>400</v>
      </c>
      <c r="K101" s="163">
        <v>9742</v>
      </c>
      <c r="L101" s="163">
        <v>452</v>
      </c>
      <c r="M101" s="163">
        <v>225</v>
      </c>
      <c r="N101" s="163">
        <v>213</v>
      </c>
      <c r="O101" s="165">
        <v>17409</v>
      </c>
    </row>
    <row r="102" spans="2:15" x14ac:dyDescent="0.25">
      <c r="B102" s="129">
        <v>42064</v>
      </c>
      <c r="C102" s="163">
        <v>911</v>
      </c>
      <c r="D102" s="163">
        <v>3649</v>
      </c>
      <c r="E102" s="163">
        <v>1488</v>
      </c>
      <c r="F102" s="163"/>
      <c r="G102" s="163">
        <v>27</v>
      </c>
      <c r="H102" s="163">
        <v>239</v>
      </c>
      <c r="I102" s="163">
        <v>1197</v>
      </c>
      <c r="J102" s="163">
        <v>327</v>
      </c>
      <c r="K102" s="163">
        <v>16196</v>
      </c>
      <c r="L102" s="163">
        <v>599</v>
      </c>
      <c r="M102" s="163">
        <v>225</v>
      </c>
      <c r="N102" s="163">
        <v>209</v>
      </c>
      <c r="O102" s="165">
        <v>25067</v>
      </c>
    </row>
    <row r="103" spans="2:15" x14ac:dyDescent="0.25">
      <c r="B103" s="129">
        <v>42095</v>
      </c>
      <c r="C103" s="163">
        <v>1145</v>
      </c>
      <c r="D103" s="163">
        <v>4080</v>
      </c>
      <c r="E103" s="163">
        <v>1126</v>
      </c>
      <c r="F103" s="163"/>
      <c r="G103" s="163">
        <v>26</v>
      </c>
      <c r="H103" s="163">
        <v>167</v>
      </c>
      <c r="I103" s="163">
        <v>1395</v>
      </c>
      <c r="J103" s="163">
        <v>324</v>
      </c>
      <c r="K103" s="163">
        <v>11691</v>
      </c>
      <c r="L103" s="163">
        <v>362</v>
      </c>
      <c r="M103" s="163">
        <v>200</v>
      </c>
      <c r="N103" s="163">
        <v>214</v>
      </c>
      <c r="O103" s="165">
        <v>20730</v>
      </c>
    </row>
    <row r="104" spans="2:15" x14ac:dyDescent="0.25">
      <c r="B104" s="129">
        <v>42125</v>
      </c>
      <c r="C104" s="163">
        <v>1353</v>
      </c>
      <c r="D104" s="163">
        <v>4998</v>
      </c>
      <c r="E104" s="163">
        <v>1530</v>
      </c>
      <c r="F104" s="163"/>
      <c r="G104" s="163">
        <v>45</v>
      </c>
      <c r="H104" s="163">
        <v>160</v>
      </c>
      <c r="I104" s="163">
        <v>1313</v>
      </c>
      <c r="J104" s="163">
        <v>271</v>
      </c>
      <c r="K104" s="163">
        <v>12411</v>
      </c>
      <c r="L104" s="163">
        <v>314</v>
      </c>
      <c r="M104" s="163">
        <v>168</v>
      </c>
      <c r="N104" s="163">
        <v>274</v>
      </c>
      <c r="O104" s="165">
        <v>22837</v>
      </c>
    </row>
    <row r="105" spans="2:15" x14ac:dyDescent="0.25">
      <c r="B105" s="129">
        <v>42156</v>
      </c>
      <c r="C105" s="163">
        <v>1097</v>
      </c>
      <c r="D105" s="163">
        <v>4206</v>
      </c>
      <c r="E105" s="163">
        <v>1179</v>
      </c>
      <c r="F105" s="163"/>
      <c r="G105" s="163">
        <v>29</v>
      </c>
      <c r="H105" s="163">
        <v>203</v>
      </c>
      <c r="I105" s="163">
        <v>1274</v>
      </c>
      <c r="J105" s="163">
        <v>372</v>
      </c>
      <c r="K105" s="163">
        <v>15922</v>
      </c>
      <c r="L105" s="163">
        <v>351</v>
      </c>
      <c r="M105" s="163">
        <v>191</v>
      </c>
      <c r="N105" s="163">
        <v>246</v>
      </c>
      <c r="O105" s="165">
        <v>25070</v>
      </c>
    </row>
    <row r="106" spans="2:15" x14ac:dyDescent="0.25">
      <c r="B106" s="129">
        <v>42186</v>
      </c>
      <c r="C106" s="163">
        <v>1322</v>
      </c>
      <c r="D106" s="163">
        <v>4999</v>
      </c>
      <c r="E106" s="163">
        <v>1307</v>
      </c>
      <c r="F106" s="163"/>
      <c r="G106" s="163">
        <v>65</v>
      </c>
      <c r="H106" s="163">
        <v>201</v>
      </c>
      <c r="I106" s="163">
        <v>1341</v>
      </c>
      <c r="J106" s="163">
        <v>352</v>
      </c>
      <c r="K106" s="163">
        <v>10461</v>
      </c>
      <c r="L106" s="163">
        <v>549</v>
      </c>
      <c r="M106" s="163">
        <v>256</v>
      </c>
      <c r="N106" s="163">
        <v>279</v>
      </c>
      <c r="O106" s="165">
        <v>21133</v>
      </c>
    </row>
    <row r="107" spans="2:15" x14ac:dyDescent="0.25">
      <c r="B107" s="129">
        <v>42217</v>
      </c>
      <c r="C107" s="163">
        <v>1524</v>
      </c>
      <c r="D107" s="163">
        <v>5568</v>
      </c>
      <c r="E107" s="163">
        <v>1138</v>
      </c>
      <c r="F107" s="163"/>
      <c r="G107" s="163">
        <v>84</v>
      </c>
      <c r="H107" s="163">
        <v>154</v>
      </c>
      <c r="I107" s="163">
        <v>1017</v>
      </c>
      <c r="J107" s="163">
        <v>240</v>
      </c>
      <c r="K107" s="163">
        <v>7007</v>
      </c>
      <c r="L107" s="163">
        <v>295</v>
      </c>
      <c r="M107" s="163">
        <v>158</v>
      </c>
      <c r="N107" s="163">
        <v>175</v>
      </c>
      <c r="O107" s="165">
        <v>17365</v>
      </c>
    </row>
    <row r="108" spans="2:15" x14ac:dyDescent="0.25">
      <c r="B108" s="129">
        <v>42248</v>
      </c>
      <c r="C108" s="163">
        <v>1271</v>
      </c>
      <c r="D108" s="163">
        <v>4972</v>
      </c>
      <c r="E108" s="163">
        <v>1188</v>
      </c>
      <c r="F108" s="163"/>
      <c r="G108" s="163">
        <v>59</v>
      </c>
      <c r="H108" s="163">
        <v>156</v>
      </c>
      <c r="I108" s="163">
        <v>1374</v>
      </c>
      <c r="J108" s="163">
        <v>397</v>
      </c>
      <c r="K108" s="163">
        <v>8446</v>
      </c>
      <c r="L108" s="163">
        <v>349</v>
      </c>
      <c r="M108" s="163">
        <v>199</v>
      </c>
      <c r="N108" s="163">
        <v>185</v>
      </c>
      <c r="O108" s="165">
        <v>18596</v>
      </c>
    </row>
    <row r="109" spans="2:15" x14ac:dyDescent="0.25">
      <c r="B109" s="129">
        <v>42278</v>
      </c>
      <c r="C109" s="163">
        <v>1077</v>
      </c>
      <c r="D109" s="163">
        <v>3741</v>
      </c>
      <c r="E109" s="163">
        <v>856</v>
      </c>
      <c r="F109" s="163"/>
      <c r="G109" s="163">
        <v>32</v>
      </c>
      <c r="H109" s="163">
        <v>186</v>
      </c>
      <c r="I109" s="163">
        <v>979</v>
      </c>
      <c r="J109" s="163">
        <v>312</v>
      </c>
      <c r="K109" s="163">
        <v>10951</v>
      </c>
      <c r="L109" s="163">
        <v>295</v>
      </c>
      <c r="M109" s="163">
        <v>153</v>
      </c>
      <c r="N109" s="163">
        <v>158</v>
      </c>
      <c r="O109" s="165">
        <v>18740</v>
      </c>
    </row>
    <row r="110" spans="2:15" x14ac:dyDescent="0.25">
      <c r="B110" s="129">
        <v>42309</v>
      </c>
      <c r="C110" s="163">
        <v>1279</v>
      </c>
      <c r="D110" s="163">
        <v>4522</v>
      </c>
      <c r="E110" s="163">
        <v>1109</v>
      </c>
      <c r="F110" s="163"/>
      <c r="G110" s="163">
        <v>41</v>
      </c>
      <c r="H110" s="163">
        <v>229</v>
      </c>
      <c r="I110" s="163">
        <v>1077</v>
      </c>
      <c r="J110" s="163">
        <v>307</v>
      </c>
      <c r="K110" s="163">
        <v>14024</v>
      </c>
      <c r="L110" s="163">
        <v>338</v>
      </c>
      <c r="M110" s="163">
        <v>171</v>
      </c>
      <c r="N110" s="163">
        <v>112</v>
      </c>
      <c r="O110" s="165">
        <v>23209</v>
      </c>
    </row>
    <row r="111" spans="2:15" x14ac:dyDescent="0.25">
      <c r="B111" s="129">
        <v>42339</v>
      </c>
      <c r="C111" s="163">
        <v>1518</v>
      </c>
      <c r="D111" s="163">
        <v>5519</v>
      </c>
      <c r="E111" s="163">
        <v>1207</v>
      </c>
      <c r="F111" s="163"/>
      <c r="G111" s="163">
        <v>72</v>
      </c>
      <c r="H111" s="163">
        <v>268</v>
      </c>
      <c r="I111" s="163">
        <v>1094</v>
      </c>
      <c r="J111" s="163">
        <v>296</v>
      </c>
      <c r="K111" s="163">
        <v>11532</v>
      </c>
      <c r="L111" s="163">
        <v>435</v>
      </c>
      <c r="M111" s="163">
        <v>140</v>
      </c>
      <c r="N111" s="163">
        <v>227</v>
      </c>
      <c r="O111" s="165">
        <v>22308</v>
      </c>
    </row>
    <row r="112" spans="2:15" x14ac:dyDescent="0.25">
      <c r="B112" s="129">
        <v>42370</v>
      </c>
      <c r="C112" s="166">
        <v>1207</v>
      </c>
      <c r="D112" s="166">
        <v>4422</v>
      </c>
      <c r="E112" s="166">
        <v>879</v>
      </c>
      <c r="F112" s="166"/>
      <c r="G112" s="166">
        <v>38</v>
      </c>
      <c r="H112" s="166">
        <v>179</v>
      </c>
      <c r="I112" s="166">
        <v>790</v>
      </c>
      <c r="J112" s="166">
        <v>195</v>
      </c>
      <c r="K112" s="166">
        <v>6365</v>
      </c>
      <c r="L112" s="166">
        <v>303</v>
      </c>
      <c r="M112" s="166">
        <v>179</v>
      </c>
      <c r="N112" s="166">
        <v>133</v>
      </c>
      <c r="O112" s="167">
        <v>14690</v>
      </c>
    </row>
    <row r="113" spans="2:15" x14ac:dyDescent="0.25">
      <c r="B113" s="129">
        <v>42401</v>
      </c>
      <c r="C113" s="163">
        <v>715</v>
      </c>
      <c r="D113" s="163">
        <v>2209</v>
      </c>
      <c r="E113" s="163">
        <v>883</v>
      </c>
      <c r="F113" s="163"/>
      <c r="G113" s="163">
        <v>16</v>
      </c>
      <c r="H113" s="163">
        <v>186</v>
      </c>
      <c r="I113" s="163">
        <v>922</v>
      </c>
      <c r="J113" s="163">
        <v>352</v>
      </c>
      <c r="K113" s="163">
        <v>6838</v>
      </c>
      <c r="L113" s="163">
        <v>308</v>
      </c>
      <c r="M113" s="163">
        <v>173</v>
      </c>
      <c r="N113" s="163">
        <v>169</v>
      </c>
      <c r="O113" s="165">
        <v>12771</v>
      </c>
    </row>
    <row r="114" spans="2:15" x14ac:dyDescent="0.25">
      <c r="B114" s="129">
        <v>42430</v>
      </c>
      <c r="C114" s="163">
        <v>685</v>
      </c>
      <c r="D114" s="163">
        <v>2289</v>
      </c>
      <c r="E114" s="163">
        <v>905</v>
      </c>
      <c r="F114" s="163"/>
      <c r="G114" s="163">
        <v>46</v>
      </c>
      <c r="H114" s="163">
        <v>125</v>
      </c>
      <c r="I114" s="163">
        <v>814</v>
      </c>
      <c r="J114" s="163">
        <v>188</v>
      </c>
      <c r="K114" s="163">
        <v>4829</v>
      </c>
      <c r="L114" s="163">
        <v>136</v>
      </c>
      <c r="M114" s="163">
        <v>158</v>
      </c>
      <c r="N114" s="163">
        <v>105</v>
      </c>
      <c r="O114" s="165">
        <v>10280</v>
      </c>
    </row>
    <row r="115" spans="2:15" x14ac:dyDescent="0.25">
      <c r="B115" s="129">
        <v>42461</v>
      </c>
      <c r="C115" s="163">
        <v>746</v>
      </c>
      <c r="D115" s="163">
        <v>2708</v>
      </c>
      <c r="E115" s="163">
        <v>997</v>
      </c>
      <c r="F115" s="163"/>
      <c r="G115" s="163">
        <v>21</v>
      </c>
      <c r="H115" s="163">
        <v>174</v>
      </c>
      <c r="I115" s="163">
        <v>910</v>
      </c>
      <c r="J115" s="163">
        <v>306</v>
      </c>
      <c r="K115" s="163">
        <v>7113</v>
      </c>
      <c r="L115" s="163">
        <v>256</v>
      </c>
      <c r="M115" s="163">
        <v>270</v>
      </c>
      <c r="N115" s="163">
        <v>198</v>
      </c>
      <c r="O115" s="165">
        <v>13699</v>
      </c>
    </row>
    <row r="116" spans="2:15" x14ac:dyDescent="0.25">
      <c r="B116" s="129">
        <v>42491</v>
      </c>
      <c r="C116" s="163">
        <v>786</v>
      </c>
      <c r="D116" s="163">
        <v>2905</v>
      </c>
      <c r="E116" s="163">
        <v>913</v>
      </c>
      <c r="F116" s="163"/>
      <c r="G116" s="163">
        <v>35</v>
      </c>
      <c r="H116" s="163">
        <v>141</v>
      </c>
      <c r="I116" s="163">
        <v>714</v>
      </c>
      <c r="J116" s="163">
        <v>178</v>
      </c>
      <c r="K116" s="163">
        <v>5489</v>
      </c>
      <c r="L116" s="163">
        <v>355</v>
      </c>
      <c r="M116" s="163">
        <v>192</v>
      </c>
      <c r="N116" s="163">
        <v>147</v>
      </c>
      <c r="O116" s="165">
        <v>11855</v>
      </c>
    </row>
    <row r="117" spans="2:15" x14ac:dyDescent="0.25">
      <c r="B117" s="129">
        <v>42522</v>
      </c>
      <c r="C117" s="163">
        <v>1104</v>
      </c>
      <c r="D117" s="163">
        <v>4217</v>
      </c>
      <c r="E117" s="163">
        <v>1188</v>
      </c>
      <c r="F117" s="163"/>
      <c r="G117" s="163">
        <v>47</v>
      </c>
      <c r="H117" s="163">
        <v>113</v>
      </c>
      <c r="I117" s="163">
        <v>806</v>
      </c>
      <c r="J117" s="163">
        <v>216</v>
      </c>
      <c r="K117" s="163">
        <v>14030</v>
      </c>
      <c r="L117" s="163">
        <v>359</v>
      </c>
      <c r="M117" s="163">
        <v>162</v>
      </c>
      <c r="N117" s="163">
        <v>186</v>
      </c>
      <c r="O117" s="165">
        <v>22428</v>
      </c>
    </row>
    <row r="118" spans="2:15" x14ac:dyDescent="0.25">
      <c r="B118" s="129">
        <v>42552</v>
      </c>
      <c r="C118" s="163">
        <v>1092</v>
      </c>
      <c r="D118" s="163">
        <v>3821</v>
      </c>
      <c r="E118" s="163">
        <v>1147</v>
      </c>
      <c r="F118" s="163"/>
      <c r="G118" s="163">
        <v>50</v>
      </c>
      <c r="H118" s="163">
        <v>146</v>
      </c>
      <c r="I118" s="163">
        <v>781</v>
      </c>
      <c r="J118" s="163">
        <v>221</v>
      </c>
      <c r="K118" s="163">
        <v>15516</v>
      </c>
      <c r="L118" s="163">
        <v>326</v>
      </c>
      <c r="M118" s="163">
        <v>247</v>
      </c>
      <c r="N118" s="163">
        <v>95</v>
      </c>
      <c r="O118" s="165">
        <v>23442</v>
      </c>
    </row>
    <row r="119" spans="2:15" x14ac:dyDescent="0.25">
      <c r="B119" s="129">
        <v>42583</v>
      </c>
      <c r="C119" s="163">
        <v>797</v>
      </c>
      <c r="D119" s="163">
        <v>2785</v>
      </c>
      <c r="E119" s="163">
        <v>1064</v>
      </c>
      <c r="F119" s="163"/>
      <c r="G119" s="163">
        <v>34</v>
      </c>
      <c r="H119" s="163">
        <v>172</v>
      </c>
      <c r="I119" s="163">
        <v>901</v>
      </c>
      <c r="J119" s="163">
        <v>315</v>
      </c>
      <c r="K119" s="163">
        <v>11399</v>
      </c>
      <c r="L119" s="163">
        <v>420</v>
      </c>
      <c r="M119" s="163">
        <v>265</v>
      </c>
      <c r="N119" s="163">
        <v>136</v>
      </c>
      <c r="O119" s="165">
        <v>18288</v>
      </c>
    </row>
    <row r="120" spans="2:15" x14ac:dyDescent="0.25">
      <c r="B120" s="129">
        <v>42614</v>
      </c>
      <c r="C120" s="163">
        <v>1490</v>
      </c>
      <c r="D120" s="163">
        <v>5678</v>
      </c>
      <c r="E120" s="163">
        <v>1304</v>
      </c>
      <c r="F120" s="163"/>
      <c r="G120" s="163">
        <v>82</v>
      </c>
      <c r="H120" s="163">
        <v>115</v>
      </c>
      <c r="I120" s="163">
        <v>855</v>
      </c>
      <c r="J120" s="163">
        <v>271</v>
      </c>
      <c r="K120" s="163">
        <v>7952</v>
      </c>
      <c r="L120" s="163">
        <v>477</v>
      </c>
      <c r="M120" s="163">
        <v>175</v>
      </c>
      <c r="N120" s="163">
        <v>128</v>
      </c>
      <c r="O120" s="165">
        <v>18527</v>
      </c>
    </row>
    <row r="121" spans="2:15" x14ac:dyDescent="0.25">
      <c r="B121" s="129">
        <v>42644</v>
      </c>
      <c r="C121" s="163">
        <v>1318.5</v>
      </c>
      <c r="D121" s="163">
        <v>4994.5</v>
      </c>
      <c r="E121" s="163">
        <v>1250</v>
      </c>
      <c r="F121" s="163"/>
      <c r="G121" s="163">
        <v>66</v>
      </c>
      <c r="H121" s="163">
        <v>118</v>
      </c>
      <c r="I121" s="163">
        <v>812.5</v>
      </c>
      <c r="J121" s="163">
        <v>230</v>
      </c>
      <c r="K121" s="163">
        <v>13307.5</v>
      </c>
      <c r="L121" s="163">
        <v>440</v>
      </c>
      <c r="M121" s="163">
        <v>245</v>
      </c>
      <c r="N121" s="163">
        <v>124.5</v>
      </c>
      <c r="O121" s="165">
        <v>22906.5</v>
      </c>
    </row>
    <row r="122" spans="2:15" x14ac:dyDescent="0.25">
      <c r="B122" s="129">
        <v>42675</v>
      </c>
      <c r="C122" s="163">
        <v>1147</v>
      </c>
      <c r="D122" s="163">
        <v>4311</v>
      </c>
      <c r="E122" s="163">
        <v>1196</v>
      </c>
      <c r="F122" s="163"/>
      <c r="G122" s="163">
        <v>50</v>
      </c>
      <c r="H122" s="163">
        <v>121</v>
      </c>
      <c r="I122" s="163">
        <v>770</v>
      </c>
      <c r="J122" s="163">
        <v>189</v>
      </c>
      <c r="K122" s="163">
        <v>18663</v>
      </c>
      <c r="L122" s="163">
        <v>403</v>
      </c>
      <c r="M122" s="163">
        <v>315</v>
      </c>
      <c r="N122" s="163">
        <v>121</v>
      </c>
      <c r="O122" s="165">
        <v>27286</v>
      </c>
    </row>
    <row r="123" spans="2:15" x14ac:dyDescent="0.25">
      <c r="B123" s="129">
        <v>42705</v>
      </c>
      <c r="C123" s="163">
        <v>1716</v>
      </c>
      <c r="D123" s="163">
        <v>6918</v>
      </c>
      <c r="E123" s="163">
        <v>1205</v>
      </c>
      <c r="F123" s="163"/>
      <c r="G123" s="163">
        <v>55</v>
      </c>
      <c r="H123" s="163">
        <v>166</v>
      </c>
      <c r="I123" s="163">
        <v>726</v>
      </c>
      <c r="J123" s="163">
        <v>168</v>
      </c>
      <c r="K123" s="163">
        <v>15988</v>
      </c>
      <c r="L123" s="163">
        <v>274</v>
      </c>
      <c r="M123" s="163">
        <v>129</v>
      </c>
      <c r="N123" s="163">
        <v>86</v>
      </c>
      <c r="O123" s="165">
        <v>27431</v>
      </c>
    </row>
    <row r="124" spans="2:15" x14ac:dyDescent="0.25">
      <c r="B124" s="129">
        <v>42736</v>
      </c>
      <c r="C124" s="163">
        <v>998</v>
      </c>
      <c r="D124" s="163">
        <v>4091</v>
      </c>
      <c r="E124" s="163">
        <v>790</v>
      </c>
      <c r="F124" s="163"/>
      <c r="G124" s="163">
        <v>31</v>
      </c>
      <c r="H124" s="163">
        <v>77</v>
      </c>
      <c r="I124" s="163">
        <v>535</v>
      </c>
      <c r="J124" s="163">
        <v>158</v>
      </c>
      <c r="K124" s="163">
        <v>16405</v>
      </c>
      <c r="L124" s="163">
        <v>516</v>
      </c>
      <c r="M124" s="163">
        <v>234</v>
      </c>
      <c r="N124" s="163">
        <v>54</v>
      </c>
      <c r="O124" s="165">
        <v>23889</v>
      </c>
    </row>
    <row r="125" spans="2:15" x14ac:dyDescent="0.25">
      <c r="B125" s="129">
        <v>42767</v>
      </c>
      <c r="C125" s="163">
        <v>526</v>
      </c>
      <c r="D125" s="163">
        <v>2294</v>
      </c>
      <c r="E125" s="163">
        <v>740</v>
      </c>
      <c r="F125" s="163"/>
      <c r="G125" s="163">
        <v>17</v>
      </c>
      <c r="H125" s="163">
        <v>84</v>
      </c>
      <c r="I125" s="163">
        <v>522</v>
      </c>
      <c r="J125" s="163">
        <v>118</v>
      </c>
      <c r="K125" s="163">
        <v>15701</v>
      </c>
      <c r="L125" s="163">
        <v>352</v>
      </c>
      <c r="M125" s="163">
        <v>290</v>
      </c>
      <c r="N125" s="163">
        <v>104</v>
      </c>
      <c r="O125" s="165">
        <v>20748</v>
      </c>
    </row>
    <row r="126" spans="2:15" x14ac:dyDescent="0.25">
      <c r="B126" s="129">
        <v>42795</v>
      </c>
      <c r="C126" s="163">
        <v>1098</v>
      </c>
      <c r="D126" s="163">
        <v>4661</v>
      </c>
      <c r="E126" s="163">
        <v>937</v>
      </c>
      <c r="F126" s="163"/>
      <c r="G126" s="163">
        <v>44</v>
      </c>
      <c r="H126" s="163">
        <v>146</v>
      </c>
      <c r="I126" s="163">
        <v>610</v>
      </c>
      <c r="J126" s="163">
        <v>114</v>
      </c>
      <c r="K126" s="163">
        <v>19168</v>
      </c>
      <c r="L126" s="163">
        <v>559</v>
      </c>
      <c r="M126" s="163">
        <v>302</v>
      </c>
      <c r="N126" s="163">
        <v>81</v>
      </c>
      <c r="O126" s="165">
        <v>27720</v>
      </c>
    </row>
    <row r="127" spans="2:15" x14ac:dyDescent="0.25">
      <c r="B127" s="129">
        <v>42826</v>
      </c>
      <c r="C127" s="163">
        <v>910</v>
      </c>
      <c r="D127" s="163">
        <v>4148</v>
      </c>
      <c r="E127" s="163">
        <v>940</v>
      </c>
      <c r="F127" s="163"/>
      <c r="G127" s="163">
        <v>34</v>
      </c>
      <c r="H127" s="163">
        <v>116</v>
      </c>
      <c r="I127" s="163">
        <v>579</v>
      </c>
      <c r="J127" s="163">
        <v>135</v>
      </c>
      <c r="K127" s="163">
        <v>15556</v>
      </c>
      <c r="L127" s="163">
        <v>395</v>
      </c>
      <c r="M127" s="163">
        <v>194</v>
      </c>
      <c r="N127" s="163">
        <v>67</v>
      </c>
      <c r="O127" s="165">
        <v>23074</v>
      </c>
    </row>
    <row r="128" spans="2:15" x14ac:dyDescent="0.25">
      <c r="B128" s="129">
        <v>42856</v>
      </c>
      <c r="C128" s="163">
        <v>933</v>
      </c>
      <c r="D128" s="163">
        <v>4869</v>
      </c>
      <c r="E128" s="163">
        <v>825</v>
      </c>
      <c r="F128" s="163"/>
      <c r="G128" s="163">
        <v>35</v>
      </c>
      <c r="H128" s="163">
        <v>95</v>
      </c>
      <c r="I128" s="163">
        <v>638</v>
      </c>
      <c r="J128" s="163">
        <v>192</v>
      </c>
      <c r="K128" s="163">
        <v>16287</v>
      </c>
      <c r="L128" s="163">
        <v>456</v>
      </c>
      <c r="M128" s="163">
        <v>326</v>
      </c>
      <c r="N128" s="163">
        <v>64</v>
      </c>
      <c r="O128" s="165">
        <v>24720</v>
      </c>
    </row>
    <row r="129" spans="2:15" x14ac:dyDescent="0.25">
      <c r="B129" s="129">
        <v>42887</v>
      </c>
      <c r="C129" s="163">
        <v>797</v>
      </c>
      <c r="D129" s="163">
        <v>4025</v>
      </c>
      <c r="E129" s="163">
        <v>670</v>
      </c>
      <c r="F129" s="163"/>
      <c r="G129" s="163">
        <v>33</v>
      </c>
      <c r="H129" s="163">
        <v>73</v>
      </c>
      <c r="I129" s="163">
        <v>535</v>
      </c>
      <c r="J129" s="163">
        <v>187</v>
      </c>
      <c r="K129" s="163">
        <v>17623</v>
      </c>
      <c r="L129" s="163">
        <v>313</v>
      </c>
      <c r="M129" s="163">
        <v>173</v>
      </c>
      <c r="N129" s="163">
        <v>80</v>
      </c>
      <c r="O129" s="165">
        <v>24509</v>
      </c>
    </row>
    <row r="130" spans="2:15" x14ac:dyDescent="0.25">
      <c r="B130" s="129">
        <v>42917</v>
      </c>
      <c r="C130" s="163">
        <v>1158</v>
      </c>
      <c r="D130" s="163">
        <v>5670</v>
      </c>
      <c r="E130" s="163">
        <v>988</v>
      </c>
      <c r="F130" s="163"/>
      <c r="G130" s="163">
        <v>74</v>
      </c>
      <c r="H130" s="163">
        <v>89</v>
      </c>
      <c r="I130" s="163">
        <v>636</v>
      </c>
      <c r="J130" s="163">
        <v>162</v>
      </c>
      <c r="K130" s="163">
        <v>19875</v>
      </c>
      <c r="L130" s="163">
        <v>393</v>
      </c>
      <c r="M130" s="163">
        <v>229</v>
      </c>
      <c r="N130" s="163">
        <v>72</v>
      </c>
      <c r="O130" s="165">
        <v>29346</v>
      </c>
    </row>
    <row r="131" spans="2:15" x14ac:dyDescent="0.25">
      <c r="B131" s="129">
        <v>42948</v>
      </c>
      <c r="C131" s="163">
        <v>853</v>
      </c>
      <c r="D131" s="163">
        <v>4309</v>
      </c>
      <c r="E131" s="163">
        <v>717</v>
      </c>
      <c r="F131" s="163"/>
      <c r="G131" s="163">
        <v>49</v>
      </c>
      <c r="H131" s="163">
        <v>78</v>
      </c>
      <c r="I131" s="163">
        <v>564</v>
      </c>
      <c r="J131" s="163">
        <v>153</v>
      </c>
      <c r="K131" s="163">
        <v>15012</v>
      </c>
      <c r="L131" s="163">
        <v>426</v>
      </c>
      <c r="M131" s="163">
        <v>191</v>
      </c>
      <c r="N131" s="163">
        <v>70</v>
      </c>
      <c r="O131" s="165">
        <v>22422</v>
      </c>
    </row>
    <row r="132" spans="2:15" x14ac:dyDescent="0.25">
      <c r="B132" s="129">
        <v>42979</v>
      </c>
      <c r="C132" s="163">
        <v>698</v>
      </c>
      <c r="D132" s="163">
        <v>3600</v>
      </c>
      <c r="E132" s="163">
        <v>768</v>
      </c>
      <c r="F132" s="163"/>
      <c r="G132" s="163">
        <v>36</v>
      </c>
      <c r="H132" s="163">
        <v>78</v>
      </c>
      <c r="I132" s="163">
        <v>725</v>
      </c>
      <c r="J132" s="163">
        <v>179</v>
      </c>
      <c r="K132" s="163">
        <v>14194</v>
      </c>
      <c r="L132" s="163">
        <v>582</v>
      </c>
      <c r="M132" s="163">
        <v>209</v>
      </c>
      <c r="N132" s="163">
        <v>68</v>
      </c>
      <c r="O132" s="165">
        <v>21137</v>
      </c>
    </row>
    <row r="133" spans="2:15" x14ac:dyDescent="0.25">
      <c r="B133" s="129">
        <v>43009</v>
      </c>
      <c r="C133" s="163">
        <v>1180</v>
      </c>
      <c r="D133" s="163">
        <v>5904</v>
      </c>
      <c r="E133" s="163">
        <v>782</v>
      </c>
      <c r="F133" s="163"/>
      <c r="G133" s="163">
        <v>30</v>
      </c>
      <c r="H133" s="163">
        <v>61</v>
      </c>
      <c r="I133" s="163">
        <v>653</v>
      </c>
      <c r="J133" s="163">
        <v>226</v>
      </c>
      <c r="K133" s="163">
        <v>9438</v>
      </c>
      <c r="L133" s="163">
        <v>373</v>
      </c>
      <c r="M133" s="163">
        <v>177</v>
      </c>
      <c r="N133" s="163">
        <v>65</v>
      </c>
      <c r="O133" s="165">
        <v>18889</v>
      </c>
    </row>
    <row r="134" spans="2:15" x14ac:dyDescent="0.25">
      <c r="B134" s="129">
        <v>43040</v>
      </c>
      <c r="C134" s="163">
        <v>1139</v>
      </c>
      <c r="D134" s="163">
        <v>5951</v>
      </c>
      <c r="E134" s="163">
        <v>907</v>
      </c>
      <c r="F134" s="163"/>
      <c r="G134" s="163">
        <v>47</v>
      </c>
      <c r="H134" s="163">
        <v>87</v>
      </c>
      <c r="I134" s="163">
        <v>729</v>
      </c>
      <c r="J134" s="163">
        <v>186</v>
      </c>
      <c r="K134" s="163">
        <v>13162</v>
      </c>
      <c r="L134" s="163">
        <v>462</v>
      </c>
      <c r="M134" s="163">
        <v>203</v>
      </c>
      <c r="N134" s="163">
        <v>81</v>
      </c>
      <c r="O134" s="165">
        <v>22954</v>
      </c>
    </row>
    <row r="135" spans="2:15" x14ac:dyDescent="0.25">
      <c r="B135" s="129">
        <v>43070</v>
      </c>
      <c r="C135" s="163">
        <v>1086</v>
      </c>
      <c r="D135" s="163">
        <v>5800</v>
      </c>
      <c r="E135" s="163">
        <v>802</v>
      </c>
      <c r="F135" s="163"/>
      <c r="G135" s="163">
        <v>29</v>
      </c>
      <c r="H135" s="163">
        <v>88</v>
      </c>
      <c r="I135" s="163">
        <v>734</v>
      </c>
      <c r="J135" s="163">
        <v>143</v>
      </c>
      <c r="K135" s="163">
        <v>14013</v>
      </c>
      <c r="L135" s="163">
        <v>340</v>
      </c>
      <c r="M135" s="163">
        <v>175</v>
      </c>
      <c r="N135" s="163">
        <v>54</v>
      </c>
      <c r="O135" s="165">
        <v>23264</v>
      </c>
    </row>
    <row r="136" spans="2:15" x14ac:dyDescent="0.25">
      <c r="B136" s="129">
        <v>43101</v>
      </c>
      <c r="C136" s="163">
        <v>972</v>
      </c>
      <c r="D136" s="163">
        <v>5113</v>
      </c>
      <c r="E136" s="163">
        <v>522</v>
      </c>
      <c r="F136" s="163">
        <v>498</v>
      </c>
      <c r="G136" s="163">
        <v>45</v>
      </c>
      <c r="H136" s="163">
        <v>75</v>
      </c>
      <c r="I136" s="163">
        <v>778</v>
      </c>
      <c r="J136" s="163">
        <v>223</v>
      </c>
      <c r="K136" s="163">
        <v>14345</v>
      </c>
      <c r="L136" s="163">
        <v>704</v>
      </c>
      <c r="M136" s="163">
        <v>313</v>
      </c>
      <c r="N136" s="163">
        <v>88</v>
      </c>
      <c r="O136" s="165">
        <v>23676</v>
      </c>
    </row>
    <row r="137" spans="2:15" x14ac:dyDescent="0.25">
      <c r="B137" s="129">
        <v>43132</v>
      </c>
      <c r="C137" s="163">
        <v>487</v>
      </c>
      <c r="D137" s="163">
        <v>3272</v>
      </c>
      <c r="E137" s="163">
        <v>370</v>
      </c>
      <c r="F137" s="163">
        <v>351</v>
      </c>
      <c r="G137" s="163" t="s">
        <v>71</v>
      </c>
      <c r="H137" s="163">
        <v>96</v>
      </c>
      <c r="I137" s="163">
        <v>677</v>
      </c>
      <c r="J137" s="163">
        <v>120</v>
      </c>
      <c r="K137" s="163">
        <v>18073</v>
      </c>
      <c r="L137" s="163">
        <v>373</v>
      </c>
      <c r="M137" s="163">
        <v>243</v>
      </c>
      <c r="N137" s="163">
        <v>61</v>
      </c>
      <c r="O137" s="165">
        <v>24123</v>
      </c>
    </row>
    <row r="138" spans="2:15" x14ac:dyDescent="0.25">
      <c r="B138" s="129">
        <v>43160</v>
      </c>
      <c r="C138" s="163">
        <v>559</v>
      </c>
      <c r="D138" s="163">
        <v>3285</v>
      </c>
      <c r="E138" s="163">
        <v>347</v>
      </c>
      <c r="F138" s="163">
        <v>333</v>
      </c>
      <c r="G138" s="163">
        <v>52</v>
      </c>
      <c r="H138" s="163">
        <v>81</v>
      </c>
      <c r="I138" s="163">
        <v>691</v>
      </c>
      <c r="J138" s="163">
        <v>192</v>
      </c>
      <c r="K138" s="163">
        <v>16935</v>
      </c>
      <c r="L138" s="163">
        <v>479</v>
      </c>
      <c r="M138" s="163">
        <v>235</v>
      </c>
      <c r="N138" s="163">
        <v>101</v>
      </c>
      <c r="O138" s="165">
        <v>23290</v>
      </c>
    </row>
    <row r="139" spans="2:15" x14ac:dyDescent="0.25">
      <c r="B139" s="129">
        <v>43191</v>
      </c>
      <c r="C139" s="163">
        <v>887</v>
      </c>
      <c r="D139" s="163">
        <v>5121</v>
      </c>
      <c r="E139" s="163">
        <v>444</v>
      </c>
      <c r="F139" s="163">
        <v>402</v>
      </c>
      <c r="G139" s="163">
        <v>59</v>
      </c>
      <c r="H139" s="163">
        <v>96</v>
      </c>
      <c r="I139" s="163">
        <v>589</v>
      </c>
      <c r="J139" s="163">
        <v>151</v>
      </c>
      <c r="K139" s="163">
        <v>13659</v>
      </c>
      <c r="L139" s="163">
        <v>283</v>
      </c>
      <c r="M139" s="163">
        <v>174</v>
      </c>
      <c r="N139" s="163">
        <v>55</v>
      </c>
      <c r="O139" s="165">
        <v>21920</v>
      </c>
    </row>
    <row r="140" spans="2:15" x14ac:dyDescent="0.25">
      <c r="B140" s="129">
        <v>43221</v>
      </c>
      <c r="C140" s="163">
        <v>917</v>
      </c>
      <c r="D140" s="163">
        <v>5783</v>
      </c>
      <c r="E140" s="163">
        <v>450</v>
      </c>
      <c r="F140" s="163">
        <v>401</v>
      </c>
      <c r="G140" s="163">
        <v>51</v>
      </c>
      <c r="H140" s="163">
        <v>74</v>
      </c>
      <c r="I140" s="163">
        <v>687</v>
      </c>
      <c r="J140" s="163">
        <v>162</v>
      </c>
      <c r="K140" s="163">
        <v>14431</v>
      </c>
      <c r="L140" s="163">
        <v>465</v>
      </c>
      <c r="M140" s="163">
        <v>235</v>
      </c>
      <c r="N140" s="163">
        <v>73</v>
      </c>
      <c r="O140" s="165">
        <v>23729</v>
      </c>
    </row>
    <row r="141" spans="2:15" x14ac:dyDescent="0.25">
      <c r="B141" s="129">
        <v>43252</v>
      </c>
      <c r="C141" s="163">
        <v>641</v>
      </c>
      <c r="D141" s="163">
        <v>3901</v>
      </c>
      <c r="E141" s="163">
        <v>367</v>
      </c>
      <c r="F141" s="163">
        <v>317</v>
      </c>
      <c r="G141" s="163">
        <v>41</v>
      </c>
      <c r="H141" s="163">
        <v>108</v>
      </c>
      <c r="I141" s="163">
        <v>670</v>
      </c>
      <c r="J141" s="163">
        <v>166</v>
      </c>
      <c r="K141" s="163">
        <v>13921</v>
      </c>
      <c r="L141" s="163">
        <v>670</v>
      </c>
      <c r="M141" s="163">
        <v>122</v>
      </c>
      <c r="N141" s="163">
        <v>87</v>
      </c>
      <c r="O141" s="165">
        <v>21011</v>
      </c>
    </row>
    <row r="142" spans="2:15" x14ac:dyDescent="0.25">
      <c r="B142" s="129">
        <v>43282</v>
      </c>
      <c r="C142" s="163">
        <v>1031</v>
      </c>
      <c r="D142" s="163">
        <v>6271</v>
      </c>
      <c r="E142" s="163">
        <v>506</v>
      </c>
      <c r="F142" s="163">
        <v>448</v>
      </c>
      <c r="G142" s="163">
        <v>58</v>
      </c>
      <c r="H142" s="163">
        <v>111</v>
      </c>
      <c r="I142" s="163">
        <v>734</v>
      </c>
      <c r="J142" s="163">
        <v>171</v>
      </c>
      <c r="K142" s="163">
        <v>13959</v>
      </c>
      <c r="L142" s="163">
        <v>557</v>
      </c>
      <c r="M142" s="163">
        <v>278</v>
      </c>
      <c r="N142" s="163">
        <v>108</v>
      </c>
      <c r="O142" s="165">
        <v>24232</v>
      </c>
    </row>
    <row r="143" spans="2:15" x14ac:dyDescent="0.25">
      <c r="B143" s="129">
        <v>43313</v>
      </c>
      <c r="C143" s="163">
        <v>853</v>
      </c>
      <c r="D143" s="163">
        <v>5581</v>
      </c>
      <c r="E143" s="163">
        <v>437</v>
      </c>
      <c r="F143" s="163">
        <v>1021</v>
      </c>
      <c r="G143" s="163">
        <v>54</v>
      </c>
      <c r="H143" s="163">
        <v>89</v>
      </c>
      <c r="I143" s="163">
        <v>907</v>
      </c>
      <c r="J143" s="163">
        <v>147</v>
      </c>
      <c r="K143" s="163">
        <v>18682</v>
      </c>
      <c r="L143" s="163">
        <v>596</v>
      </c>
      <c r="M143" s="163">
        <v>194</v>
      </c>
      <c r="N143" s="163">
        <v>88</v>
      </c>
      <c r="O143" s="165">
        <v>28649</v>
      </c>
    </row>
    <row r="144" spans="2:15" x14ac:dyDescent="0.25">
      <c r="B144" s="129">
        <v>43344</v>
      </c>
      <c r="C144" s="163">
        <v>733</v>
      </c>
      <c r="D144" s="163">
        <v>4803</v>
      </c>
      <c r="E144" s="163">
        <v>409</v>
      </c>
      <c r="F144" s="163">
        <v>616</v>
      </c>
      <c r="G144" s="163">
        <v>56</v>
      </c>
      <c r="H144" s="163">
        <v>79</v>
      </c>
      <c r="I144" s="163">
        <v>638</v>
      </c>
      <c r="J144" s="163">
        <v>213</v>
      </c>
      <c r="K144" s="163">
        <v>14756</v>
      </c>
      <c r="L144" s="163">
        <v>554</v>
      </c>
      <c r="M144" s="163">
        <v>179</v>
      </c>
      <c r="N144" s="163">
        <v>98</v>
      </c>
      <c r="O144" s="165">
        <v>23134</v>
      </c>
    </row>
    <row r="145" spans="2:15" x14ac:dyDescent="0.25">
      <c r="B145" s="129">
        <v>43374</v>
      </c>
      <c r="C145" s="163">
        <v>1010</v>
      </c>
      <c r="D145" s="163">
        <v>6958</v>
      </c>
      <c r="E145" s="163">
        <v>491</v>
      </c>
      <c r="F145" s="163">
        <v>418</v>
      </c>
      <c r="G145" s="163">
        <v>63</v>
      </c>
      <c r="H145" s="163">
        <v>108</v>
      </c>
      <c r="I145" s="163">
        <v>729</v>
      </c>
      <c r="J145" s="163">
        <v>170</v>
      </c>
      <c r="K145" s="163">
        <v>17661</v>
      </c>
      <c r="L145" s="163">
        <v>604</v>
      </c>
      <c r="M145" s="163">
        <v>191</v>
      </c>
      <c r="N145" s="163">
        <v>63</v>
      </c>
      <c r="O145" s="165">
        <v>28466</v>
      </c>
    </row>
    <row r="146" spans="2:15" x14ac:dyDescent="0.25">
      <c r="B146" s="129">
        <v>43405</v>
      </c>
      <c r="C146" s="163">
        <v>879</v>
      </c>
      <c r="D146" s="163">
        <v>5914</v>
      </c>
      <c r="E146" s="163">
        <v>452</v>
      </c>
      <c r="F146" s="163">
        <v>496</v>
      </c>
      <c r="G146" s="163">
        <v>70</v>
      </c>
      <c r="H146" s="163">
        <v>90</v>
      </c>
      <c r="I146" s="163">
        <v>660</v>
      </c>
      <c r="J146" s="163">
        <v>132</v>
      </c>
      <c r="K146" s="163">
        <v>18043</v>
      </c>
      <c r="L146" s="163">
        <v>626</v>
      </c>
      <c r="M146" s="163">
        <v>279</v>
      </c>
      <c r="N146" s="163">
        <v>72</v>
      </c>
      <c r="O146" s="165">
        <v>27713</v>
      </c>
    </row>
    <row r="147" spans="2:15" x14ac:dyDescent="0.25">
      <c r="B147" s="129">
        <v>43435</v>
      </c>
      <c r="C147" s="163">
        <v>869</v>
      </c>
      <c r="D147" s="163">
        <v>5814</v>
      </c>
      <c r="E147" s="163">
        <v>447</v>
      </c>
      <c r="F147" s="163">
        <v>638</v>
      </c>
      <c r="G147" s="163">
        <v>61</v>
      </c>
      <c r="H147" s="163">
        <v>92</v>
      </c>
      <c r="I147" s="163">
        <v>734</v>
      </c>
      <c r="J147" s="163">
        <v>166</v>
      </c>
      <c r="K147" s="163">
        <v>17286</v>
      </c>
      <c r="L147" s="163">
        <v>595</v>
      </c>
      <c r="M147" s="163">
        <v>211</v>
      </c>
      <c r="N147" s="163">
        <v>80</v>
      </c>
      <c r="O147" s="165">
        <v>26991</v>
      </c>
    </row>
    <row r="148" spans="2:15" x14ac:dyDescent="0.25">
      <c r="B148" s="129">
        <v>43466</v>
      </c>
      <c r="C148" s="163">
        <v>932</v>
      </c>
      <c r="D148" s="163">
        <v>6598</v>
      </c>
      <c r="E148" s="163">
        <v>506</v>
      </c>
      <c r="F148" s="163">
        <v>423</v>
      </c>
      <c r="G148" s="163">
        <v>169</v>
      </c>
      <c r="H148" s="163">
        <v>71</v>
      </c>
      <c r="I148" s="163">
        <v>405</v>
      </c>
      <c r="J148" s="163">
        <v>104</v>
      </c>
      <c r="K148" s="163">
        <v>17664</v>
      </c>
      <c r="L148" s="163">
        <v>776</v>
      </c>
      <c r="M148" s="163">
        <v>193</v>
      </c>
      <c r="N148" s="163">
        <v>1236</v>
      </c>
      <c r="O148" s="165">
        <v>29077</v>
      </c>
    </row>
    <row r="149" spans="2:15" x14ac:dyDescent="0.25">
      <c r="B149" s="129">
        <v>43497</v>
      </c>
      <c r="C149" s="163">
        <v>750</v>
      </c>
      <c r="D149" s="163">
        <v>5432</v>
      </c>
      <c r="E149" s="163">
        <v>362</v>
      </c>
      <c r="F149" s="163">
        <v>325</v>
      </c>
      <c r="G149" s="163">
        <v>102</v>
      </c>
      <c r="H149" s="163">
        <v>74</v>
      </c>
      <c r="I149" s="163">
        <v>453</v>
      </c>
      <c r="J149" s="163">
        <v>98</v>
      </c>
      <c r="K149" s="163">
        <v>16048</v>
      </c>
      <c r="L149" s="163">
        <v>451</v>
      </c>
      <c r="M149" s="163">
        <v>283</v>
      </c>
      <c r="N149" s="163">
        <v>234</v>
      </c>
      <c r="O149" s="165">
        <v>24612</v>
      </c>
    </row>
    <row r="150" spans="2:15" x14ac:dyDescent="0.25">
      <c r="B150" s="129">
        <v>43525</v>
      </c>
      <c r="C150" s="163">
        <v>663</v>
      </c>
      <c r="D150" s="163">
        <v>4561</v>
      </c>
      <c r="E150" s="163">
        <v>392</v>
      </c>
      <c r="F150" s="163">
        <v>343</v>
      </c>
      <c r="G150" s="163">
        <v>151</v>
      </c>
      <c r="H150" s="163">
        <v>102</v>
      </c>
      <c r="I150" s="163">
        <v>560</v>
      </c>
      <c r="J150" s="163">
        <v>122</v>
      </c>
      <c r="K150" s="163">
        <v>18304</v>
      </c>
      <c r="L150" s="163">
        <v>833</v>
      </c>
      <c r="M150" s="163">
        <v>148</v>
      </c>
      <c r="N150" s="163">
        <v>255</v>
      </c>
      <c r="O150" s="165">
        <v>26434</v>
      </c>
    </row>
    <row r="151" spans="2:15" x14ac:dyDescent="0.25">
      <c r="B151" s="129">
        <v>43556</v>
      </c>
      <c r="C151" s="163">
        <v>984</v>
      </c>
      <c r="D151" s="163">
        <v>6605</v>
      </c>
      <c r="E151" s="163">
        <v>529</v>
      </c>
      <c r="F151" s="163">
        <v>543</v>
      </c>
      <c r="G151" s="163">
        <v>161</v>
      </c>
      <c r="H151" s="163">
        <v>106</v>
      </c>
      <c r="I151" s="163">
        <v>612</v>
      </c>
      <c r="J151" s="163">
        <v>156</v>
      </c>
      <c r="K151" s="163">
        <v>19717</v>
      </c>
      <c r="L151" s="163">
        <v>427</v>
      </c>
      <c r="M151" s="163">
        <v>182</v>
      </c>
      <c r="N151" s="163">
        <v>330</v>
      </c>
      <c r="O151" s="165">
        <v>30352</v>
      </c>
    </row>
    <row r="152" spans="2:15" x14ac:dyDescent="0.25">
      <c r="B152" s="129">
        <v>43586</v>
      </c>
      <c r="C152" s="163">
        <v>890</v>
      </c>
      <c r="D152" s="163">
        <v>6576</v>
      </c>
      <c r="E152" s="163">
        <v>555</v>
      </c>
      <c r="F152" s="163">
        <v>432</v>
      </c>
      <c r="G152" s="163">
        <v>183</v>
      </c>
      <c r="H152" s="163">
        <v>120</v>
      </c>
      <c r="I152" s="163">
        <v>667</v>
      </c>
      <c r="J152" s="163">
        <v>118</v>
      </c>
      <c r="K152" s="163">
        <v>19063</v>
      </c>
      <c r="L152" s="163">
        <v>557</v>
      </c>
      <c r="M152" s="163">
        <v>164</v>
      </c>
      <c r="N152" s="163">
        <v>376</v>
      </c>
      <c r="O152" s="165">
        <v>29701</v>
      </c>
    </row>
    <row r="153" spans="2:15" x14ac:dyDescent="0.25">
      <c r="B153" s="129">
        <v>43617</v>
      </c>
      <c r="C153" s="163">
        <v>949</v>
      </c>
      <c r="D153" s="163">
        <v>6405</v>
      </c>
      <c r="E153" s="163">
        <v>451</v>
      </c>
      <c r="F153" s="163">
        <v>392</v>
      </c>
      <c r="G153" s="163">
        <v>158</v>
      </c>
      <c r="H153" s="163">
        <v>114</v>
      </c>
      <c r="I153" s="163">
        <v>551</v>
      </c>
      <c r="J153" s="163">
        <v>111</v>
      </c>
      <c r="K153" s="163">
        <v>14608</v>
      </c>
      <c r="L153" s="163">
        <v>598</v>
      </c>
      <c r="M153" s="163">
        <v>116</v>
      </c>
      <c r="N153" s="163">
        <v>407</v>
      </c>
      <c r="O153" s="165">
        <v>24860</v>
      </c>
    </row>
    <row r="154" spans="2:15" x14ac:dyDescent="0.25">
      <c r="B154" s="129">
        <v>43647</v>
      </c>
      <c r="C154" s="163">
        <v>1053</v>
      </c>
      <c r="D154" s="163">
        <v>7827</v>
      </c>
      <c r="E154" s="163">
        <v>531</v>
      </c>
      <c r="F154" s="163">
        <v>518</v>
      </c>
      <c r="G154" s="163">
        <v>211</v>
      </c>
      <c r="H154" s="163">
        <v>126</v>
      </c>
      <c r="I154" s="163">
        <v>646</v>
      </c>
      <c r="J154" s="163">
        <v>179</v>
      </c>
      <c r="K154" s="163">
        <v>20118</v>
      </c>
      <c r="L154" s="163">
        <v>649</v>
      </c>
      <c r="M154" s="163">
        <v>153</v>
      </c>
      <c r="N154" s="163">
        <v>430</v>
      </c>
      <c r="O154" s="165">
        <v>32441</v>
      </c>
    </row>
    <row r="155" spans="2:15" x14ac:dyDescent="0.25">
      <c r="B155" s="129">
        <v>43678</v>
      </c>
      <c r="C155" s="163">
        <v>794</v>
      </c>
      <c r="D155" s="163">
        <v>5294</v>
      </c>
      <c r="E155" s="163">
        <v>463</v>
      </c>
      <c r="F155" s="163">
        <v>440</v>
      </c>
      <c r="G155" s="163">
        <v>127</v>
      </c>
      <c r="H155" s="163">
        <v>106</v>
      </c>
      <c r="I155" s="163">
        <v>593</v>
      </c>
      <c r="J155" s="163">
        <v>147</v>
      </c>
      <c r="K155" s="163">
        <v>16542</v>
      </c>
      <c r="L155" s="163">
        <v>754</v>
      </c>
      <c r="M155" s="163">
        <v>142</v>
      </c>
      <c r="N155" s="163">
        <v>292</v>
      </c>
      <c r="O155" s="165">
        <v>25694</v>
      </c>
    </row>
    <row r="156" spans="2:15" x14ac:dyDescent="0.25">
      <c r="B156" s="129">
        <v>43709</v>
      </c>
      <c r="C156" s="163">
        <v>850</v>
      </c>
      <c r="D156" s="163">
        <v>6322</v>
      </c>
      <c r="E156" s="163">
        <v>570</v>
      </c>
      <c r="F156" s="163">
        <v>399</v>
      </c>
      <c r="G156" s="163">
        <v>159</v>
      </c>
      <c r="H156" s="163">
        <v>119</v>
      </c>
      <c r="I156" s="163">
        <v>573</v>
      </c>
      <c r="J156" s="163">
        <v>176</v>
      </c>
      <c r="K156" s="163">
        <v>15995</v>
      </c>
      <c r="L156" s="163">
        <v>708</v>
      </c>
      <c r="M156" s="163">
        <v>115</v>
      </c>
      <c r="N156" s="163">
        <v>295</v>
      </c>
      <c r="O156" s="165">
        <v>26281</v>
      </c>
    </row>
    <row r="157" spans="2:15" x14ac:dyDescent="0.25">
      <c r="B157" s="129">
        <v>43739</v>
      </c>
      <c r="C157" s="163">
        <v>808.5</v>
      </c>
      <c r="D157" s="163">
        <v>6331.5</v>
      </c>
      <c r="E157" s="163">
        <v>500</v>
      </c>
      <c r="F157" s="163">
        <v>370.5</v>
      </c>
      <c r="G157" s="163">
        <v>175.5</v>
      </c>
      <c r="H157" s="163">
        <v>146.5</v>
      </c>
      <c r="I157" s="163">
        <v>572.5</v>
      </c>
      <c r="J157" s="163">
        <v>163.5</v>
      </c>
      <c r="K157" s="163">
        <v>16621</v>
      </c>
      <c r="L157" s="163">
        <v>579</v>
      </c>
      <c r="M157" s="163">
        <v>107.5</v>
      </c>
      <c r="N157" s="163">
        <v>296</v>
      </c>
      <c r="O157" s="165">
        <v>26672</v>
      </c>
    </row>
    <row r="158" spans="2:15" x14ac:dyDescent="0.25">
      <c r="B158" s="129">
        <v>43770</v>
      </c>
      <c r="C158" s="163">
        <v>767</v>
      </c>
      <c r="D158" s="163">
        <v>6341</v>
      </c>
      <c r="E158" s="163">
        <v>430</v>
      </c>
      <c r="F158" s="163">
        <v>342</v>
      </c>
      <c r="G158" s="163">
        <v>192</v>
      </c>
      <c r="H158" s="163">
        <v>174</v>
      </c>
      <c r="I158" s="163">
        <v>572</v>
      </c>
      <c r="J158" s="163">
        <v>151</v>
      </c>
      <c r="K158" s="163">
        <v>17247</v>
      </c>
      <c r="L158" s="163">
        <v>450</v>
      </c>
      <c r="M158" s="163">
        <v>100</v>
      </c>
      <c r="N158" s="163">
        <v>297</v>
      </c>
      <c r="O158" s="165">
        <v>27063</v>
      </c>
    </row>
    <row r="159" spans="2:15" x14ac:dyDescent="0.25">
      <c r="B159" s="129">
        <v>43800</v>
      </c>
      <c r="C159" s="163">
        <v>775</v>
      </c>
      <c r="D159" s="163">
        <v>6070</v>
      </c>
      <c r="E159" s="163">
        <v>342</v>
      </c>
      <c r="F159" s="163">
        <v>372</v>
      </c>
      <c r="G159" s="163">
        <v>130</v>
      </c>
      <c r="H159" s="163">
        <v>130</v>
      </c>
      <c r="I159" s="163">
        <v>453</v>
      </c>
      <c r="J159" s="163">
        <v>108</v>
      </c>
      <c r="K159" s="163">
        <v>17563</v>
      </c>
      <c r="L159" s="163">
        <v>516</v>
      </c>
      <c r="M159" s="163">
        <v>100</v>
      </c>
      <c r="N159" s="163">
        <v>194</v>
      </c>
      <c r="O159" s="165">
        <v>26753</v>
      </c>
    </row>
    <row r="160" spans="2:15" x14ac:dyDescent="0.25">
      <c r="B160" s="129">
        <v>43831</v>
      </c>
      <c r="C160" s="163">
        <v>794</v>
      </c>
      <c r="D160" s="163">
        <v>6282</v>
      </c>
      <c r="E160" s="163">
        <v>393</v>
      </c>
      <c r="F160" s="163">
        <v>285</v>
      </c>
      <c r="G160" s="163">
        <v>131</v>
      </c>
      <c r="H160" s="163">
        <v>100</v>
      </c>
      <c r="I160" s="163">
        <v>477</v>
      </c>
      <c r="J160" s="163">
        <v>180</v>
      </c>
      <c r="K160" s="163">
        <v>22011</v>
      </c>
      <c r="L160" s="163">
        <v>640</v>
      </c>
      <c r="M160" s="163">
        <v>209</v>
      </c>
      <c r="N160" s="163">
        <v>278</v>
      </c>
      <c r="O160" s="165">
        <v>31780</v>
      </c>
    </row>
    <row r="161" spans="2:15" x14ac:dyDescent="0.25">
      <c r="B161" s="129">
        <v>43862</v>
      </c>
      <c r="C161" s="163">
        <v>444</v>
      </c>
      <c r="D161" s="163">
        <v>3910</v>
      </c>
      <c r="E161" s="163">
        <v>370</v>
      </c>
      <c r="F161" s="163">
        <v>327</v>
      </c>
      <c r="G161" s="163">
        <v>118</v>
      </c>
      <c r="H161" s="163">
        <v>98</v>
      </c>
      <c r="I161" s="163">
        <v>486</v>
      </c>
      <c r="J161" s="163">
        <v>95</v>
      </c>
      <c r="K161" s="163">
        <v>19562</v>
      </c>
      <c r="L161" s="163">
        <v>388</v>
      </c>
      <c r="M161" s="163">
        <v>152</v>
      </c>
      <c r="N161" s="163">
        <v>368</v>
      </c>
      <c r="O161" s="165">
        <v>26318</v>
      </c>
    </row>
    <row r="162" spans="2:15" x14ac:dyDescent="0.25">
      <c r="B162" s="129">
        <v>43891</v>
      </c>
      <c r="C162" s="163">
        <v>458</v>
      </c>
      <c r="D162" s="163">
        <v>4033</v>
      </c>
      <c r="E162" s="163">
        <v>268</v>
      </c>
      <c r="F162" s="163">
        <v>383</v>
      </c>
      <c r="G162" s="163">
        <v>45</v>
      </c>
      <c r="H162" s="163">
        <v>82</v>
      </c>
      <c r="I162" s="163">
        <v>475</v>
      </c>
      <c r="J162" s="163">
        <v>121</v>
      </c>
      <c r="K162" s="163">
        <v>20199</v>
      </c>
      <c r="L162" s="163">
        <v>514</v>
      </c>
      <c r="M162" s="163">
        <v>158</v>
      </c>
      <c r="N162" s="163">
        <v>247</v>
      </c>
      <c r="O162" s="165">
        <v>26983</v>
      </c>
    </row>
    <row r="163" spans="2:15" x14ac:dyDescent="0.25">
      <c r="B163" s="129">
        <v>43922</v>
      </c>
      <c r="C163" s="163">
        <v>290</v>
      </c>
      <c r="D163" s="163">
        <v>2336</v>
      </c>
      <c r="E163" s="163">
        <v>140</v>
      </c>
      <c r="F163" s="163">
        <v>261</v>
      </c>
      <c r="G163" s="163">
        <v>13</v>
      </c>
      <c r="H163" s="163">
        <v>37</v>
      </c>
      <c r="I163" s="163">
        <v>371</v>
      </c>
      <c r="J163" s="163">
        <v>82</v>
      </c>
      <c r="K163" s="163">
        <v>5099</v>
      </c>
      <c r="L163" s="163">
        <v>252</v>
      </c>
      <c r="M163" s="163">
        <v>165</v>
      </c>
      <c r="N163" s="163">
        <v>203</v>
      </c>
      <c r="O163" s="165">
        <v>9249</v>
      </c>
    </row>
    <row r="164" spans="2:15" x14ac:dyDescent="0.25">
      <c r="B164" s="129">
        <v>43952</v>
      </c>
      <c r="C164" s="163">
        <v>270</v>
      </c>
      <c r="D164" s="163">
        <v>2373</v>
      </c>
      <c r="E164" s="163">
        <v>104</v>
      </c>
      <c r="F164" s="163">
        <v>190</v>
      </c>
      <c r="G164" s="163">
        <v>10</v>
      </c>
      <c r="H164" s="163">
        <v>35</v>
      </c>
      <c r="I164" s="163">
        <v>289</v>
      </c>
      <c r="J164" s="163">
        <v>94</v>
      </c>
      <c r="K164" s="163">
        <v>8884</v>
      </c>
      <c r="L164" s="163">
        <v>248</v>
      </c>
      <c r="M164" s="163">
        <v>93</v>
      </c>
      <c r="N164" s="163">
        <v>166</v>
      </c>
      <c r="O164" s="165">
        <v>12756</v>
      </c>
    </row>
    <row r="165" spans="2:15" x14ac:dyDescent="0.25">
      <c r="B165" s="129">
        <v>43983</v>
      </c>
      <c r="C165" s="163">
        <v>392</v>
      </c>
      <c r="D165" s="163">
        <v>3351</v>
      </c>
      <c r="E165" s="163">
        <v>203</v>
      </c>
      <c r="F165" s="163">
        <v>313</v>
      </c>
      <c r="G165" s="163">
        <v>42</v>
      </c>
      <c r="H165" s="163">
        <v>42</v>
      </c>
      <c r="I165" s="163">
        <v>401</v>
      </c>
      <c r="J165" s="163">
        <v>176</v>
      </c>
      <c r="K165" s="163">
        <v>15371</v>
      </c>
      <c r="L165" s="163">
        <v>469</v>
      </c>
      <c r="M165" s="163">
        <v>186</v>
      </c>
      <c r="N165" s="163">
        <v>245</v>
      </c>
      <c r="O165" s="165">
        <v>21191</v>
      </c>
    </row>
    <row r="166" spans="2:15" x14ac:dyDescent="0.25">
      <c r="B166" s="129">
        <v>44013</v>
      </c>
      <c r="C166" s="163">
        <v>632</v>
      </c>
      <c r="D166" s="163">
        <v>5444</v>
      </c>
      <c r="E166" s="163">
        <v>312</v>
      </c>
      <c r="F166" s="163">
        <v>418</v>
      </c>
      <c r="G166" s="163">
        <v>69</v>
      </c>
      <c r="H166" s="163">
        <v>98</v>
      </c>
      <c r="I166" s="163">
        <v>597</v>
      </c>
      <c r="J166" s="163">
        <v>228</v>
      </c>
      <c r="K166" s="163">
        <v>18265</v>
      </c>
      <c r="L166" s="163">
        <v>488</v>
      </c>
      <c r="M166" s="163">
        <v>195</v>
      </c>
      <c r="N166" s="163">
        <v>370</v>
      </c>
      <c r="O166" s="165">
        <v>27116</v>
      </c>
    </row>
    <row r="167" spans="2:15" x14ac:dyDescent="0.25">
      <c r="B167" s="129">
        <v>44044</v>
      </c>
      <c r="C167" s="163">
        <v>713</v>
      </c>
      <c r="D167" s="163">
        <v>5814</v>
      </c>
      <c r="E167" s="163">
        <v>362</v>
      </c>
      <c r="F167" s="163">
        <v>211</v>
      </c>
      <c r="G167" s="163">
        <v>61</v>
      </c>
      <c r="H167" s="163">
        <v>63</v>
      </c>
      <c r="I167" s="163">
        <v>610</v>
      </c>
      <c r="J167" s="163">
        <v>279</v>
      </c>
      <c r="K167" s="163">
        <v>21744</v>
      </c>
      <c r="L167" s="163">
        <v>562</v>
      </c>
      <c r="M167" s="163">
        <v>233</v>
      </c>
      <c r="N167" s="163">
        <v>707</v>
      </c>
      <c r="O167" s="165">
        <v>31359</v>
      </c>
    </row>
    <row r="168" spans="2:15" x14ac:dyDescent="0.25">
      <c r="B168" s="129">
        <v>44075</v>
      </c>
      <c r="C168" s="163">
        <v>596</v>
      </c>
      <c r="D168" s="163">
        <v>4307</v>
      </c>
      <c r="E168" s="163">
        <v>332</v>
      </c>
      <c r="F168" s="163">
        <v>231</v>
      </c>
      <c r="G168" s="163">
        <v>39</v>
      </c>
      <c r="H168" s="163">
        <v>41</v>
      </c>
      <c r="I168" s="163">
        <v>627</v>
      </c>
      <c r="J168" s="163">
        <v>263</v>
      </c>
      <c r="K168" s="163">
        <v>17606</v>
      </c>
      <c r="L168" s="163">
        <v>719</v>
      </c>
      <c r="M168" s="163">
        <v>318</v>
      </c>
      <c r="N168" s="163">
        <v>631</v>
      </c>
      <c r="O168" s="165">
        <v>25710</v>
      </c>
    </row>
    <row r="169" spans="2:15" x14ac:dyDescent="0.25">
      <c r="B169" s="129">
        <v>44105</v>
      </c>
      <c r="C169" s="163">
        <v>1045</v>
      </c>
      <c r="D169" s="163">
        <v>7327</v>
      </c>
      <c r="E169" s="163">
        <v>537</v>
      </c>
      <c r="F169" s="163">
        <v>508</v>
      </c>
      <c r="G169" s="163">
        <v>142</v>
      </c>
      <c r="H169" s="163">
        <v>140</v>
      </c>
      <c r="I169" s="163">
        <v>712</v>
      </c>
      <c r="J169" s="163">
        <v>232</v>
      </c>
      <c r="K169" s="163">
        <v>27284</v>
      </c>
      <c r="L169" s="163">
        <v>811</v>
      </c>
      <c r="M169" s="163">
        <v>229</v>
      </c>
      <c r="N169" s="163">
        <v>542</v>
      </c>
      <c r="O169" s="165">
        <v>39509</v>
      </c>
    </row>
    <row r="170" spans="2:15" x14ac:dyDescent="0.25">
      <c r="B170" s="129">
        <v>44136</v>
      </c>
      <c r="C170" s="163">
        <v>876</v>
      </c>
      <c r="D170" s="163">
        <v>6343</v>
      </c>
      <c r="E170" s="163">
        <v>415</v>
      </c>
      <c r="F170" s="163">
        <v>459</v>
      </c>
      <c r="G170" s="163">
        <v>92</v>
      </c>
      <c r="H170" s="163">
        <v>55</v>
      </c>
      <c r="I170" s="163">
        <v>661</v>
      </c>
      <c r="J170" s="163">
        <v>318</v>
      </c>
      <c r="K170" s="163">
        <v>24776</v>
      </c>
      <c r="L170" s="163">
        <v>404</v>
      </c>
      <c r="M170" s="163">
        <v>283</v>
      </c>
      <c r="N170" s="163">
        <v>498</v>
      </c>
      <c r="O170" s="165">
        <v>35180</v>
      </c>
    </row>
    <row r="171" spans="2:15" x14ac:dyDescent="0.25">
      <c r="B171" s="129">
        <v>44166</v>
      </c>
      <c r="C171" s="163">
        <v>1050</v>
      </c>
      <c r="D171" s="163">
        <v>7494</v>
      </c>
      <c r="E171" s="163">
        <v>424</v>
      </c>
      <c r="F171" s="163">
        <v>261</v>
      </c>
      <c r="G171" s="163">
        <v>129</v>
      </c>
      <c r="H171" s="163">
        <v>104</v>
      </c>
      <c r="I171" s="163">
        <v>738</v>
      </c>
      <c r="J171" s="163">
        <v>309</v>
      </c>
      <c r="K171" s="163">
        <v>45336</v>
      </c>
      <c r="L171" s="163">
        <v>371</v>
      </c>
      <c r="M171" s="163">
        <v>301</v>
      </c>
      <c r="N171" s="163">
        <v>844</v>
      </c>
      <c r="O171" s="165">
        <v>57361</v>
      </c>
    </row>
    <row r="172" spans="2:15" x14ac:dyDescent="0.25">
      <c r="B172" s="129">
        <v>44197</v>
      </c>
      <c r="C172" s="163">
        <v>640</v>
      </c>
      <c r="D172" s="163">
        <v>5128</v>
      </c>
      <c r="E172" s="163">
        <v>390</v>
      </c>
      <c r="F172" s="163">
        <v>353</v>
      </c>
      <c r="G172" s="163">
        <v>77</v>
      </c>
      <c r="H172" s="163">
        <v>94</v>
      </c>
      <c r="I172" s="163">
        <v>494</v>
      </c>
      <c r="J172" s="163">
        <v>358</v>
      </c>
      <c r="K172" s="163">
        <v>22945</v>
      </c>
      <c r="L172" s="163">
        <v>632</v>
      </c>
      <c r="M172" s="163">
        <v>251</v>
      </c>
      <c r="N172" s="163">
        <v>534</v>
      </c>
      <c r="O172" s="165">
        <v>31896</v>
      </c>
    </row>
    <row r="173" spans="2:15" x14ac:dyDescent="0.25">
      <c r="B173" s="129">
        <v>44228</v>
      </c>
      <c r="C173" s="163">
        <v>459</v>
      </c>
      <c r="D173" s="163">
        <v>3773</v>
      </c>
      <c r="E173" s="163">
        <v>325</v>
      </c>
      <c r="F173" s="163">
        <v>357</v>
      </c>
      <c r="G173" s="163">
        <v>60</v>
      </c>
      <c r="H173" s="163">
        <v>78</v>
      </c>
      <c r="I173" s="163">
        <v>606</v>
      </c>
      <c r="J173" s="163">
        <v>320</v>
      </c>
      <c r="K173" s="163">
        <v>11026</v>
      </c>
      <c r="L173" s="163">
        <v>975</v>
      </c>
      <c r="M173" s="163">
        <v>360</v>
      </c>
      <c r="N173" s="163">
        <v>483</v>
      </c>
      <c r="O173" s="165">
        <v>18822</v>
      </c>
    </row>
    <row r="174" spans="2:15" x14ac:dyDescent="0.25">
      <c r="B174" s="129">
        <v>44256</v>
      </c>
      <c r="C174" s="163">
        <v>553</v>
      </c>
      <c r="D174" s="163">
        <v>4390</v>
      </c>
      <c r="E174" s="163">
        <v>349</v>
      </c>
      <c r="F174" s="163">
        <v>380</v>
      </c>
      <c r="G174" s="163">
        <v>69</v>
      </c>
      <c r="H174" s="163">
        <v>76</v>
      </c>
      <c r="I174" s="163">
        <v>629</v>
      </c>
      <c r="J174" s="163">
        <v>290</v>
      </c>
      <c r="K174" s="163">
        <v>17593</v>
      </c>
      <c r="L174" s="163">
        <v>406</v>
      </c>
      <c r="M174" s="163">
        <v>329</v>
      </c>
      <c r="N174" s="163">
        <v>463</v>
      </c>
      <c r="O174" s="165">
        <v>25527</v>
      </c>
    </row>
    <row r="175" spans="2:15" x14ac:dyDescent="0.25">
      <c r="B175" s="129">
        <v>44287</v>
      </c>
      <c r="C175" s="163">
        <v>513.5</v>
      </c>
      <c r="D175" s="163">
        <v>3936.5</v>
      </c>
      <c r="E175" s="163">
        <v>357.5</v>
      </c>
      <c r="F175" s="163">
        <v>261</v>
      </c>
      <c r="G175" s="163">
        <v>63</v>
      </c>
      <c r="H175" s="163">
        <v>63.5</v>
      </c>
      <c r="I175" s="163">
        <v>555.5</v>
      </c>
      <c r="J175" s="163">
        <v>253.5</v>
      </c>
      <c r="K175" s="163">
        <v>22891</v>
      </c>
      <c r="L175" s="163">
        <v>501</v>
      </c>
      <c r="M175" s="163">
        <v>245.5</v>
      </c>
      <c r="N175" s="163">
        <v>517.5</v>
      </c>
      <c r="O175" s="165">
        <v>30159</v>
      </c>
    </row>
    <row r="176" spans="2:15" x14ac:dyDescent="0.25">
      <c r="B176" s="129">
        <v>44317</v>
      </c>
      <c r="C176" s="163">
        <v>474</v>
      </c>
      <c r="D176" s="163">
        <v>3483</v>
      </c>
      <c r="E176" s="163">
        <v>366</v>
      </c>
      <c r="F176" s="163">
        <v>142</v>
      </c>
      <c r="G176" s="163">
        <v>57</v>
      </c>
      <c r="H176" s="163">
        <v>51</v>
      </c>
      <c r="I176" s="163">
        <v>482</v>
      </c>
      <c r="J176" s="163">
        <v>217</v>
      </c>
      <c r="K176" s="163">
        <v>28189</v>
      </c>
      <c r="L176" s="163">
        <v>596</v>
      </c>
      <c r="M176" s="163">
        <v>162</v>
      </c>
      <c r="N176" s="163">
        <v>572</v>
      </c>
      <c r="O176" s="165">
        <v>34791</v>
      </c>
    </row>
    <row r="177" spans="2:15" x14ac:dyDescent="0.25">
      <c r="B177" s="129">
        <v>44348</v>
      </c>
      <c r="C177" s="163">
        <v>741</v>
      </c>
      <c r="D177" s="163">
        <v>5887</v>
      </c>
      <c r="E177" s="163">
        <v>595</v>
      </c>
      <c r="F177" s="163">
        <v>197</v>
      </c>
      <c r="G177" s="163">
        <v>87</v>
      </c>
      <c r="H177" s="163">
        <v>64</v>
      </c>
      <c r="I177" s="163">
        <v>638</v>
      </c>
      <c r="J177" s="163">
        <v>360</v>
      </c>
      <c r="K177" s="163">
        <v>38856</v>
      </c>
      <c r="L177" s="163">
        <v>634</v>
      </c>
      <c r="M177" s="163">
        <v>331</v>
      </c>
      <c r="N177" s="163">
        <v>734</v>
      </c>
      <c r="O177" s="165">
        <v>49124</v>
      </c>
    </row>
    <row r="178" spans="2:15" x14ac:dyDescent="0.25">
      <c r="B178" s="129">
        <v>44378</v>
      </c>
      <c r="C178" s="163">
        <v>754</v>
      </c>
      <c r="D178" s="163">
        <v>6259</v>
      </c>
      <c r="E178" s="163">
        <v>479</v>
      </c>
      <c r="F178" s="163">
        <v>186</v>
      </c>
      <c r="G178" s="163">
        <v>86</v>
      </c>
      <c r="H178" s="163">
        <v>77</v>
      </c>
      <c r="I178" s="163">
        <v>588</v>
      </c>
      <c r="J178" s="163">
        <v>256</v>
      </c>
      <c r="K178" s="163">
        <v>20533</v>
      </c>
      <c r="L178" s="163">
        <v>331</v>
      </c>
      <c r="M178" s="163">
        <v>249</v>
      </c>
      <c r="N178" s="163">
        <v>781</v>
      </c>
      <c r="O178" s="165">
        <v>30579</v>
      </c>
    </row>
    <row r="179" spans="2:15" x14ac:dyDescent="0.25">
      <c r="B179" s="129">
        <v>44409</v>
      </c>
      <c r="C179" s="163">
        <v>778</v>
      </c>
      <c r="D179" s="163">
        <v>6182</v>
      </c>
      <c r="E179" s="163">
        <v>572</v>
      </c>
      <c r="F179" s="163">
        <v>293</v>
      </c>
      <c r="G179" s="163">
        <v>61</v>
      </c>
      <c r="H179" s="163">
        <v>80</v>
      </c>
      <c r="I179" s="163">
        <v>638</v>
      </c>
      <c r="J179" s="163">
        <v>319</v>
      </c>
      <c r="K179" s="163">
        <v>8409</v>
      </c>
      <c r="L179" s="163">
        <v>443</v>
      </c>
      <c r="M179" s="163">
        <v>211</v>
      </c>
      <c r="N179" s="163">
        <v>419</v>
      </c>
      <c r="O179" s="165">
        <v>18405</v>
      </c>
    </row>
    <row r="180" spans="2:15" x14ac:dyDescent="0.25">
      <c r="B180" s="129">
        <v>44440</v>
      </c>
      <c r="C180" s="163">
        <v>712</v>
      </c>
      <c r="D180" s="163">
        <v>5692</v>
      </c>
      <c r="E180" s="163">
        <v>599</v>
      </c>
      <c r="F180" s="163">
        <v>267</v>
      </c>
      <c r="G180" s="163">
        <v>46</v>
      </c>
      <c r="H180" s="163">
        <v>57</v>
      </c>
      <c r="I180" s="163">
        <v>739</v>
      </c>
      <c r="J180" s="163">
        <v>197</v>
      </c>
      <c r="K180" s="163">
        <v>14580</v>
      </c>
      <c r="L180" s="163">
        <v>356</v>
      </c>
      <c r="M180" s="163">
        <v>200</v>
      </c>
      <c r="N180" s="163">
        <v>424</v>
      </c>
      <c r="O180" s="165">
        <v>23869</v>
      </c>
    </row>
    <row r="181" spans="2:15" x14ac:dyDescent="0.25">
      <c r="B181" s="129">
        <v>44470</v>
      </c>
      <c r="C181" s="163">
        <v>745</v>
      </c>
      <c r="D181" s="163">
        <v>5937</v>
      </c>
      <c r="E181" s="163">
        <v>585.5</v>
      </c>
      <c r="F181" s="163">
        <v>280</v>
      </c>
      <c r="G181" s="163">
        <v>53.5</v>
      </c>
      <c r="H181" s="163">
        <v>68.5</v>
      </c>
      <c r="I181" s="163">
        <v>688.5</v>
      </c>
      <c r="J181" s="163">
        <v>258</v>
      </c>
      <c r="K181" s="163">
        <v>11494.5</v>
      </c>
      <c r="L181" s="163">
        <v>399.5</v>
      </c>
      <c r="M181" s="163">
        <v>205.5</v>
      </c>
      <c r="N181" s="163">
        <v>421.5</v>
      </c>
      <c r="O181" s="165">
        <v>21137</v>
      </c>
    </row>
    <row r="182" spans="2:15" x14ac:dyDescent="0.25">
      <c r="B182" s="129">
        <v>44501</v>
      </c>
      <c r="C182" s="163">
        <v>728.5</v>
      </c>
      <c r="D182" s="163">
        <v>5814.5</v>
      </c>
      <c r="E182" s="163">
        <v>592.25</v>
      </c>
      <c r="F182" s="163">
        <v>273.5</v>
      </c>
      <c r="G182" s="163">
        <v>49.75</v>
      </c>
      <c r="H182" s="163">
        <v>62.75</v>
      </c>
      <c r="I182" s="163">
        <v>713.75</v>
      </c>
      <c r="J182" s="163">
        <v>227.5</v>
      </c>
      <c r="K182" s="163">
        <v>13037.25</v>
      </c>
      <c r="L182" s="163">
        <v>377.75</v>
      </c>
      <c r="M182" s="163">
        <v>202.75</v>
      </c>
      <c r="N182" s="163">
        <v>422.75</v>
      </c>
      <c r="O182" s="165">
        <v>22503</v>
      </c>
    </row>
    <row r="183" spans="2:15" x14ac:dyDescent="0.25">
      <c r="B183" s="129">
        <v>44531</v>
      </c>
      <c r="C183" s="163">
        <v>937</v>
      </c>
      <c r="D183" s="163">
        <v>7571</v>
      </c>
      <c r="E183" s="163">
        <v>389</v>
      </c>
      <c r="F183" s="163">
        <v>144</v>
      </c>
      <c r="G183" s="163">
        <v>61</v>
      </c>
      <c r="H183" s="163">
        <v>127</v>
      </c>
      <c r="I183" s="163">
        <v>507</v>
      </c>
      <c r="J183" s="163">
        <v>160</v>
      </c>
      <c r="K183" s="163">
        <v>22579</v>
      </c>
      <c r="L183" s="163">
        <v>546</v>
      </c>
      <c r="M183" s="163">
        <v>180</v>
      </c>
      <c r="N183" s="163">
        <v>501</v>
      </c>
      <c r="O183" s="165">
        <v>33702</v>
      </c>
    </row>
    <row r="184" spans="2:15" x14ac:dyDescent="0.25">
      <c r="B184" s="129">
        <v>44562</v>
      </c>
      <c r="C184" s="163">
        <v>663</v>
      </c>
      <c r="D184" s="163">
        <v>4888</v>
      </c>
      <c r="E184" s="163">
        <v>352</v>
      </c>
      <c r="F184" s="163">
        <v>166</v>
      </c>
      <c r="G184" s="163">
        <v>28</v>
      </c>
      <c r="H184" s="163">
        <v>66</v>
      </c>
      <c r="I184" s="163">
        <v>516</v>
      </c>
      <c r="J184" s="163">
        <v>138</v>
      </c>
      <c r="K184" s="163">
        <v>27556</v>
      </c>
      <c r="L184" s="163">
        <v>436</v>
      </c>
      <c r="M184" s="163">
        <v>193</v>
      </c>
      <c r="N184" s="163">
        <v>417</v>
      </c>
      <c r="O184" s="165">
        <v>35419</v>
      </c>
    </row>
    <row r="185" spans="2:15" x14ac:dyDescent="0.25">
      <c r="B185" s="129">
        <v>44593</v>
      </c>
      <c r="C185" s="163">
        <v>144</v>
      </c>
      <c r="D185" s="163">
        <v>797</v>
      </c>
      <c r="E185" s="163">
        <v>129</v>
      </c>
      <c r="F185" s="163">
        <v>39</v>
      </c>
      <c r="G185" s="163">
        <v>8</v>
      </c>
      <c r="H185" s="163">
        <v>5</v>
      </c>
      <c r="I185" s="163">
        <v>40</v>
      </c>
      <c r="J185" s="163" t="s">
        <v>71</v>
      </c>
      <c r="K185" s="163">
        <v>1171</v>
      </c>
      <c r="L185" s="163">
        <v>8</v>
      </c>
      <c r="M185" s="163" t="s">
        <v>71</v>
      </c>
      <c r="N185" s="163">
        <v>36</v>
      </c>
      <c r="O185" s="165">
        <v>2377</v>
      </c>
    </row>
    <row r="186" spans="2:15" x14ac:dyDescent="0.25">
      <c r="B186" s="129">
        <v>44621</v>
      </c>
      <c r="C186" s="163">
        <v>558</v>
      </c>
      <c r="D186" s="163">
        <v>4627</v>
      </c>
      <c r="E186" s="163">
        <v>601</v>
      </c>
      <c r="F186" s="163">
        <v>179</v>
      </c>
      <c r="G186" s="163">
        <v>61</v>
      </c>
      <c r="H186" s="163">
        <v>110</v>
      </c>
      <c r="I186" s="163">
        <v>185</v>
      </c>
      <c r="J186" s="163" t="s">
        <v>71</v>
      </c>
      <c r="K186" s="163">
        <v>10920</v>
      </c>
      <c r="L186" s="163">
        <v>153</v>
      </c>
      <c r="M186" s="163">
        <v>24</v>
      </c>
      <c r="N186" s="163">
        <v>219</v>
      </c>
      <c r="O186" s="165">
        <v>17637</v>
      </c>
    </row>
    <row r="187" spans="2:15" x14ac:dyDescent="0.25">
      <c r="B187" s="129">
        <v>44652</v>
      </c>
      <c r="C187" s="163">
        <v>323</v>
      </c>
      <c r="D187" s="163">
        <v>3218</v>
      </c>
      <c r="E187" s="163">
        <v>495</v>
      </c>
      <c r="F187" s="163">
        <v>163</v>
      </c>
      <c r="G187" s="163">
        <v>116</v>
      </c>
      <c r="H187" s="163">
        <v>98</v>
      </c>
      <c r="I187" s="163">
        <v>123</v>
      </c>
      <c r="J187" s="163" t="s">
        <v>71</v>
      </c>
      <c r="K187" s="163">
        <v>13668</v>
      </c>
      <c r="L187" s="163">
        <v>133</v>
      </c>
      <c r="M187" s="163">
        <v>12</v>
      </c>
      <c r="N187" s="163">
        <v>157</v>
      </c>
      <c r="O187" s="165">
        <v>18506</v>
      </c>
    </row>
    <row r="188" spans="2:15" x14ac:dyDescent="0.25">
      <c r="B188" s="129">
        <v>44682</v>
      </c>
      <c r="C188" s="163">
        <v>334</v>
      </c>
      <c r="D188" s="163">
        <v>3137</v>
      </c>
      <c r="E188" s="163">
        <v>426</v>
      </c>
      <c r="F188" s="163">
        <v>176</v>
      </c>
      <c r="G188" s="163">
        <v>42</v>
      </c>
      <c r="H188" s="163">
        <v>14</v>
      </c>
      <c r="I188" s="163">
        <v>83</v>
      </c>
      <c r="J188" s="163" t="s">
        <v>71</v>
      </c>
      <c r="K188" s="163">
        <v>10920</v>
      </c>
      <c r="L188" s="163">
        <v>31</v>
      </c>
      <c r="M188" s="163">
        <v>8</v>
      </c>
      <c r="N188" s="163">
        <v>136</v>
      </c>
      <c r="O188" s="165">
        <v>15307</v>
      </c>
    </row>
    <row r="189" spans="2:15" x14ac:dyDescent="0.25">
      <c r="B189" s="129">
        <v>44713</v>
      </c>
      <c r="C189" s="163">
        <v>500</v>
      </c>
      <c r="D189" s="163">
        <v>4559</v>
      </c>
      <c r="E189" s="163">
        <v>766</v>
      </c>
      <c r="F189" s="163">
        <v>1050</v>
      </c>
      <c r="G189" s="163">
        <v>45</v>
      </c>
      <c r="H189" s="163">
        <v>241</v>
      </c>
      <c r="I189" s="163">
        <v>1482</v>
      </c>
      <c r="J189" s="163">
        <v>386</v>
      </c>
      <c r="K189" s="163">
        <v>16410</v>
      </c>
      <c r="L189" s="163">
        <v>746</v>
      </c>
      <c r="M189" s="163">
        <v>316</v>
      </c>
      <c r="N189" s="163">
        <v>1599</v>
      </c>
      <c r="O189" s="165">
        <v>28100</v>
      </c>
    </row>
    <row r="190" spans="2:15" x14ac:dyDescent="0.25">
      <c r="B190" s="129">
        <v>44743</v>
      </c>
      <c r="C190" s="163">
        <v>708</v>
      </c>
      <c r="D190" s="163">
        <v>6084</v>
      </c>
      <c r="E190" s="163">
        <v>286</v>
      </c>
      <c r="F190" s="163">
        <v>796</v>
      </c>
      <c r="G190" s="163">
        <v>81</v>
      </c>
      <c r="H190" s="163">
        <v>348</v>
      </c>
      <c r="I190" s="163">
        <v>1464</v>
      </c>
      <c r="J190" s="163">
        <v>305</v>
      </c>
      <c r="K190" s="163">
        <v>8687</v>
      </c>
      <c r="L190" s="163">
        <v>495</v>
      </c>
      <c r="M190" s="163">
        <v>361</v>
      </c>
      <c r="N190" s="163">
        <v>1375</v>
      </c>
      <c r="O190" s="165">
        <v>20990</v>
      </c>
    </row>
    <row r="191" spans="2:15" x14ac:dyDescent="0.25">
      <c r="B191" s="129">
        <v>44774</v>
      </c>
      <c r="C191" s="163">
        <v>551</v>
      </c>
      <c r="D191" s="163">
        <v>4523</v>
      </c>
      <c r="E191" s="163">
        <v>513</v>
      </c>
      <c r="F191" s="163">
        <v>269</v>
      </c>
      <c r="G191" s="163">
        <v>79</v>
      </c>
      <c r="H191" s="163">
        <v>249</v>
      </c>
      <c r="I191" s="163">
        <v>999</v>
      </c>
      <c r="J191" s="163">
        <v>419</v>
      </c>
      <c r="K191" s="163">
        <v>6258</v>
      </c>
      <c r="L191" s="163">
        <v>268</v>
      </c>
      <c r="M191" s="163">
        <v>210</v>
      </c>
      <c r="N191" s="163">
        <v>925</v>
      </c>
      <c r="O191" s="165">
        <v>15263</v>
      </c>
    </row>
    <row r="192" spans="2:15" x14ac:dyDescent="0.25">
      <c r="B192" s="129">
        <v>44805</v>
      </c>
      <c r="C192" s="163">
        <v>498</v>
      </c>
      <c r="D192" s="163">
        <v>4720</v>
      </c>
      <c r="E192" s="163">
        <v>566</v>
      </c>
      <c r="F192" s="163">
        <v>364</v>
      </c>
      <c r="G192" s="163">
        <v>90</v>
      </c>
      <c r="H192" s="163">
        <v>276</v>
      </c>
      <c r="I192" s="163">
        <v>1307</v>
      </c>
      <c r="J192" s="163">
        <v>406</v>
      </c>
      <c r="K192" s="163">
        <v>10071</v>
      </c>
      <c r="L192" s="163">
        <v>455</v>
      </c>
      <c r="M192" s="163">
        <v>473</v>
      </c>
      <c r="N192" s="163">
        <v>716</v>
      </c>
      <c r="O192" s="165">
        <v>19942</v>
      </c>
    </row>
    <row r="193" spans="2:15" x14ac:dyDescent="0.25">
      <c r="B193" s="129">
        <v>44835</v>
      </c>
      <c r="C193" s="163">
        <v>609</v>
      </c>
      <c r="D193" s="163">
        <v>5372</v>
      </c>
      <c r="E193" s="163">
        <v>998</v>
      </c>
      <c r="F193" s="163">
        <v>252</v>
      </c>
      <c r="G193" s="163">
        <v>106</v>
      </c>
      <c r="H193" s="163">
        <v>200</v>
      </c>
      <c r="I193" s="163">
        <v>1451</v>
      </c>
      <c r="J193" s="163">
        <v>588</v>
      </c>
      <c r="K193" s="163">
        <v>12256</v>
      </c>
      <c r="L193" s="163">
        <v>516</v>
      </c>
      <c r="M193" s="163">
        <v>380</v>
      </c>
      <c r="N193" s="163">
        <v>639</v>
      </c>
      <c r="O193" s="165">
        <v>23367</v>
      </c>
    </row>
    <row r="194" spans="2:15" x14ac:dyDescent="0.25">
      <c r="B194" s="129">
        <v>44866</v>
      </c>
      <c r="C194" s="163">
        <v>577</v>
      </c>
      <c r="D194" s="163">
        <v>5278</v>
      </c>
      <c r="E194" s="163">
        <v>798</v>
      </c>
      <c r="F194" s="163">
        <v>355</v>
      </c>
      <c r="G194" s="163">
        <v>139</v>
      </c>
      <c r="H194" s="163">
        <v>334</v>
      </c>
      <c r="I194" s="163">
        <v>1309</v>
      </c>
      <c r="J194" s="163">
        <v>723</v>
      </c>
      <c r="K194" s="163">
        <v>5243</v>
      </c>
      <c r="L194" s="163">
        <v>262</v>
      </c>
      <c r="M194" s="163">
        <v>354</v>
      </c>
      <c r="N194" s="163">
        <v>873</v>
      </c>
      <c r="O194" s="165">
        <v>16245</v>
      </c>
    </row>
    <row r="195" spans="2:15" x14ac:dyDescent="0.25">
      <c r="B195" s="129">
        <v>44896</v>
      </c>
      <c r="C195" s="163">
        <v>885</v>
      </c>
      <c r="D195" s="163">
        <v>7801</v>
      </c>
      <c r="E195" s="163">
        <v>732</v>
      </c>
      <c r="F195" s="163">
        <v>430</v>
      </c>
      <c r="G195" s="163">
        <v>112</v>
      </c>
      <c r="H195" s="163">
        <v>232</v>
      </c>
      <c r="I195" s="163">
        <v>1116</v>
      </c>
      <c r="J195" s="163">
        <v>492</v>
      </c>
      <c r="K195" s="163">
        <v>8353</v>
      </c>
      <c r="L195" s="163">
        <v>498</v>
      </c>
      <c r="M195" s="163">
        <v>222</v>
      </c>
      <c r="N195" s="163">
        <v>853</v>
      </c>
      <c r="O195" s="165">
        <v>21726</v>
      </c>
    </row>
    <row r="196" spans="2:15" x14ac:dyDescent="0.25">
      <c r="B196" s="129">
        <v>44927</v>
      </c>
      <c r="C196" s="163">
        <v>465</v>
      </c>
      <c r="D196" s="163">
        <v>4441</v>
      </c>
      <c r="E196" s="163">
        <v>591</v>
      </c>
      <c r="F196" s="163">
        <v>413</v>
      </c>
      <c r="G196" s="163">
        <v>61</v>
      </c>
      <c r="H196" s="163">
        <v>221</v>
      </c>
      <c r="I196" s="163">
        <v>894</v>
      </c>
      <c r="J196" s="163">
        <v>342</v>
      </c>
      <c r="K196" s="163">
        <v>9009</v>
      </c>
      <c r="L196" s="163">
        <v>479</v>
      </c>
      <c r="M196" s="163">
        <v>258</v>
      </c>
      <c r="N196" s="163">
        <v>783</v>
      </c>
      <c r="O196" s="165">
        <v>17957</v>
      </c>
    </row>
    <row r="197" spans="2:15" x14ac:dyDescent="0.25">
      <c r="B197" s="129">
        <v>44958</v>
      </c>
      <c r="C197" s="163">
        <v>292</v>
      </c>
      <c r="D197" s="163">
        <v>2523</v>
      </c>
      <c r="E197" s="163">
        <v>573</v>
      </c>
      <c r="F197" s="163">
        <v>284</v>
      </c>
      <c r="G197" s="163">
        <v>128</v>
      </c>
      <c r="H197" s="163">
        <v>292</v>
      </c>
      <c r="I197" s="163">
        <v>1105</v>
      </c>
      <c r="J197" s="163">
        <v>449</v>
      </c>
      <c r="K197" s="163">
        <v>6460</v>
      </c>
      <c r="L197" s="163">
        <v>265</v>
      </c>
      <c r="M197" s="163">
        <v>210</v>
      </c>
      <c r="N197" s="163">
        <v>923</v>
      </c>
      <c r="O197" s="165">
        <v>13504</v>
      </c>
    </row>
    <row r="198" spans="2:15" x14ac:dyDescent="0.25">
      <c r="B198" s="129">
        <v>44986</v>
      </c>
      <c r="C198" s="163">
        <v>315</v>
      </c>
      <c r="D198" s="163">
        <v>3264</v>
      </c>
      <c r="E198" s="163">
        <v>224</v>
      </c>
      <c r="F198" s="163">
        <v>583</v>
      </c>
      <c r="G198" s="163">
        <v>139</v>
      </c>
      <c r="H198" s="163">
        <v>261</v>
      </c>
      <c r="I198" s="163">
        <v>1110</v>
      </c>
      <c r="J198" s="163">
        <v>546</v>
      </c>
      <c r="K198" s="163">
        <v>7140</v>
      </c>
      <c r="L198" s="163">
        <v>342</v>
      </c>
      <c r="M198" s="163">
        <v>225</v>
      </c>
      <c r="N198" s="163">
        <v>988</v>
      </c>
      <c r="O198" s="165">
        <v>15137</v>
      </c>
    </row>
    <row r="199" spans="2:15" x14ac:dyDescent="0.25">
      <c r="B199" s="129">
        <v>45017</v>
      </c>
      <c r="C199" s="163">
        <v>266</v>
      </c>
      <c r="D199" s="163">
        <v>2425</v>
      </c>
      <c r="E199" s="163">
        <v>133</v>
      </c>
      <c r="F199" s="163">
        <v>706</v>
      </c>
      <c r="G199" s="163">
        <v>135</v>
      </c>
      <c r="H199" s="163">
        <v>156</v>
      </c>
      <c r="I199" s="163">
        <v>927</v>
      </c>
      <c r="J199" s="163">
        <v>528</v>
      </c>
      <c r="K199" s="163">
        <v>5050</v>
      </c>
      <c r="L199" s="163">
        <v>258</v>
      </c>
      <c r="M199" s="163">
        <v>159</v>
      </c>
      <c r="N199" s="163">
        <v>676</v>
      </c>
      <c r="O199" s="165">
        <v>11419</v>
      </c>
    </row>
    <row r="200" spans="2:15" x14ac:dyDescent="0.25">
      <c r="B200" s="129">
        <v>45047</v>
      </c>
      <c r="C200" s="163">
        <v>458</v>
      </c>
      <c r="D200" s="163">
        <v>4696</v>
      </c>
      <c r="E200" s="163">
        <v>258</v>
      </c>
      <c r="F200" s="163">
        <v>730</v>
      </c>
      <c r="G200" s="163">
        <v>93</v>
      </c>
      <c r="H200" s="163">
        <v>250</v>
      </c>
      <c r="I200" s="163">
        <v>1277</v>
      </c>
      <c r="J200" s="163">
        <v>534</v>
      </c>
      <c r="K200" s="163">
        <v>3244</v>
      </c>
      <c r="L200" s="163">
        <v>374</v>
      </c>
      <c r="M200" s="163">
        <v>153</v>
      </c>
      <c r="N200" s="163">
        <v>878</v>
      </c>
      <c r="O200" s="165">
        <v>12945</v>
      </c>
    </row>
    <row r="201" spans="2:15" x14ac:dyDescent="0.25">
      <c r="B201" s="129">
        <v>45078</v>
      </c>
      <c r="C201" s="163">
        <v>444</v>
      </c>
      <c r="D201" s="163">
        <v>4400</v>
      </c>
      <c r="E201" s="163">
        <v>188</v>
      </c>
      <c r="F201" s="163">
        <v>752</v>
      </c>
      <c r="G201" s="163">
        <v>129</v>
      </c>
      <c r="H201" s="163">
        <v>273</v>
      </c>
      <c r="I201" s="163">
        <v>1172</v>
      </c>
      <c r="J201" s="163">
        <v>523</v>
      </c>
      <c r="K201" s="163">
        <v>5030</v>
      </c>
      <c r="L201" s="163">
        <v>301</v>
      </c>
      <c r="M201" s="163">
        <v>95</v>
      </c>
      <c r="N201" s="163">
        <v>860</v>
      </c>
      <c r="O201" s="165">
        <v>14167</v>
      </c>
    </row>
    <row r="202" spans="2:15" x14ac:dyDescent="0.25">
      <c r="B202" s="129">
        <v>45108</v>
      </c>
      <c r="C202" s="163">
        <v>508</v>
      </c>
      <c r="D202" s="163">
        <v>5021</v>
      </c>
      <c r="E202" s="163">
        <v>286</v>
      </c>
      <c r="F202" s="163">
        <v>568</v>
      </c>
      <c r="G202" s="163">
        <v>112</v>
      </c>
      <c r="H202" s="163">
        <v>204</v>
      </c>
      <c r="I202" s="163">
        <v>838</v>
      </c>
      <c r="J202" s="163">
        <v>419</v>
      </c>
      <c r="K202" s="163">
        <v>5652</v>
      </c>
      <c r="L202" s="163">
        <v>585</v>
      </c>
      <c r="M202" s="163">
        <v>132</v>
      </c>
      <c r="N202" s="163">
        <v>1000</v>
      </c>
      <c r="O202" s="165">
        <v>15325</v>
      </c>
    </row>
    <row r="203" spans="2:15" x14ac:dyDescent="0.25">
      <c r="B203" s="129">
        <v>45139</v>
      </c>
      <c r="C203" s="163">
        <v>741</v>
      </c>
      <c r="D203" s="163">
        <v>7729</v>
      </c>
      <c r="E203" s="163">
        <v>881</v>
      </c>
      <c r="F203" s="163">
        <v>975</v>
      </c>
      <c r="G203" s="163">
        <v>160</v>
      </c>
      <c r="H203" s="163">
        <v>277</v>
      </c>
      <c r="I203" s="163">
        <v>1279</v>
      </c>
      <c r="J203" s="163">
        <v>606</v>
      </c>
      <c r="K203" s="163">
        <v>4025</v>
      </c>
      <c r="L203" s="163">
        <v>899</v>
      </c>
      <c r="M203" s="163">
        <v>98</v>
      </c>
      <c r="N203" s="163">
        <v>1194</v>
      </c>
      <c r="O203" s="165">
        <v>18864</v>
      </c>
    </row>
    <row r="204" spans="2:15" x14ac:dyDescent="0.25">
      <c r="B204" s="129">
        <v>45170</v>
      </c>
      <c r="C204" s="163">
        <v>752</v>
      </c>
      <c r="D204" s="163">
        <v>7569</v>
      </c>
      <c r="E204" s="163">
        <v>771</v>
      </c>
      <c r="F204" s="163">
        <v>389</v>
      </c>
      <c r="G204" s="163">
        <v>129</v>
      </c>
      <c r="H204" s="163">
        <v>249</v>
      </c>
      <c r="I204" s="163">
        <v>1090</v>
      </c>
      <c r="J204" s="163">
        <v>460</v>
      </c>
      <c r="K204" s="163">
        <v>5343</v>
      </c>
      <c r="L204" s="163">
        <v>624</v>
      </c>
      <c r="M204" s="163">
        <v>89</v>
      </c>
      <c r="N204" s="163">
        <v>887</v>
      </c>
      <c r="O204" s="165">
        <v>18352</v>
      </c>
    </row>
    <row r="205" spans="2:15" x14ac:dyDescent="0.25">
      <c r="B205" s="129">
        <v>45200</v>
      </c>
      <c r="C205" s="163">
        <v>426</v>
      </c>
      <c r="D205" s="163">
        <v>4065</v>
      </c>
      <c r="E205" s="163">
        <v>623</v>
      </c>
      <c r="F205" s="163">
        <v>453</v>
      </c>
      <c r="G205" s="163">
        <v>140</v>
      </c>
      <c r="H205" s="163">
        <v>282</v>
      </c>
      <c r="I205" s="163">
        <v>1038</v>
      </c>
      <c r="J205" s="163">
        <v>548</v>
      </c>
      <c r="K205" s="163">
        <v>4690</v>
      </c>
      <c r="L205" s="163">
        <v>408</v>
      </c>
      <c r="M205" s="163">
        <v>100</v>
      </c>
      <c r="N205" s="163">
        <v>921</v>
      </c>
      <c r="O205" s="165">
        <v>13694</v>
      </c>
    </row>
    <row r="206" spans="2:15" x14ac:dyDescent="0.25">
      <c r="B206" s="129">
        <v>45231</v>
      </c>
      <c r="C206" s="163">
        <v>433</v>
      </c>
      <c r="D206" s="163">
        <v>4128</v>
      </c>
      <c r="E206" s="163">
        <v>516</v>
      </c>
      <c r="F206" s="163">
        <v>269</v>
      </c>
      <c r="G206" s="163">
        <v>162</v>
      </c>
      <c r="H206" s="163">
        <v>170</v>
      </c>
      <c r="I206" s="163">
        <v>1102</v>
      </c>
      <c r="J206" s="163">
        <v>497</v>
      </c>
      <c r="K206" s="163">
        <v>3472</v>
      </c>
      <c r="L206" s="163">
        <v>462</v>
      </c>
      <c r="M206" s="163">
        <v>215</v>
      </c>
      <c r="N206" s="163">
        <v>791</v>
      </c>
      <c r="O206" s="165">
        <v>12217</v>
      </c>
    </row>
    <row r="207" spans="2:15" x14ac:dyDescent="0.25">
      <c r="B207" s="129">
        <v>45261</v>
      </c>
      <c r="C207" s="163">
        <v>393</v>
      </c>
      <c r="D207" s="163">
        <v>3649</v>
      </c>
      <c r="E207" s="163">
        <v>403</v>
      </c>
      <c r="F207" s="163">
        <v>226</v>
      </c>
      <c r="G207" s="163">
        <v>79</v>
      </c>
      <c r="H207" s="163">
        <v>255</v>
      </c>
      <c r="I207" s="163">
        <v>687</v>
      </c>
      <c r="J207" s="163">
        <v>424</v>
      </c>
      <c r="K207" s="163">
        <v>3223</v>
      </c>
      <c r="L207" s="163">
        <v>265</v>
      </c>
      <c r="M207" s="163">
        <v>98</v>
      </c>
      <c r="N207" s="163">
        <v>647</v>
      </c>
      <c r="O207" s="165">
        <v>10349</v>
      </c>
    </row>
    <row r="208" spans="2:15" x14ac:dyDescent="0.25">
      <c r="B208" s="129">
        <v>45292</v>
      </c>
      <c r="C208" s="168">
        <v>720</v>
      </c>
      <c r="D208" s="168">
        <v>8446</v>
      </c>
      <c r="E208" s="168">
        <v>358</v>
      </c>
      <c r="F208" s="168">
        <v>320</v>
      </c>
      <c r="G208" s="168">
        <v>165</v>
      </c>
      <c r="H208" s="168">
        <v>102</v>
      </c>
      <c r="I208" s="168">
        <v>499</v>
      </c>
      <c r="J208" s="168">
        <v>127</v>
      </c>
      <c r="K208" s="168">
        <v>8468</v>
      </c>
      <c r="L208" s="168">
        <v>1</v>
      </c>
      <c r="M208" s="168">
        <v>67</v>
      </c>
      <c r="N208" s="168">
        <v>438</v>
      </c>
      <c r="O208" s="169">
        <v>19711</v>
      </c>
    </row>
    <row r="209" spans="2:15" x14ac:dyDescent="0.25">
      <c r="B209" s="129">
        <v>45323</v>
      </c>
      <c r="C209" s="168">
        <v>515</v>
      </c>
      <c r="D209" s="168">
        <v>5957</v>
      </c>
      <c r="E209" s="168">
        <v>304</v>
      </c>
      <c r="F209" s="168">
        <v>320</v>
      </c>
      <c r="G209" s="168">
        <v>196</v>
      </c>
      <c r="H209" s="168">
        <v>130</v>
      </c>
      <c r="I209" s="168">
        <v>682</v>
      </c>
      <c r="J209" s="168">
        <v>336</v>
      </c>
      <c r="K209" s="168">
        <v>8561</v>
      </c>
      <c r="L209" s="168">
        <v>647</v>
      </c>
      <c r="M209" s="168">
        <v>84</v>
      </c>
      <c r="N209" s="168">
        <v>777</v>
      </c>
      <c r="O209" s="169">
        <v>18509</v>
      </c>
    </row>
    <row r="210" spans="2:15" x14ac:dyDescent="0.25">
      <c r="B210" s="129">
        <v>45352</v>
      </c>
      <c r="C210" s="168">
        <v>478</v>
      </c>
      <c r="D210" s="168">
        <v>5909</v>
      </c>
      <c r="E210" s="168">
        <v>396</v>
      </c>
      <c r="F210" s="168">
        <v>267</v>
      </c>
      <c r="G210" s="168">
        <v>145</v>
      </c>
      <c r="H210" s="168">
        <v>170</v>
      </c>
      <c r="I210" s="168">
        <v>652</v>
      </c>
      <c r="J210" s="168">
        <v>359</v>
      </c>
      <c r="K210" s="168">
        <v>6509</v>
      </c>
      <c r="L210" s="168">
        <v>445</v>
      </c>
      <c r="M210" s="168">
        <v>84</v>
      </c>
      <c r="N210" s="168">
        <v>570</v>
      </c>
      <c r="O210" s="169">
        <v>15984</v>
      </c>
    </row>
    <row r="211" spans="2:15" x14ac:dyDescent="0.25">
      <c r="B211" s="129">
        <v>45383</v>
      </c>
      <c r="C211" s="168">
        <v>276</v>
      </c>
      <c r="D211" s="168">
        <v>3320</v>
      </c>
      <c r="E211" s="168">
        <v>163</v>
      </c>
      <c r="F211" s="168">
        <v>202</v>
      </c>
      <c r="G211" s="168">
        <v>46</v>
      </c>
      <c r="H211" s="168">
        <v>80</v>
      </c>
      <c r="I211" s="168">
        <v>407</v>
      </c>
      <c r="J211" s="168">
        <v>213</v>
      </c>
      <c r="K211" s="168">
        <v>4772</v>
      </c>
      <c r="L211" s="168">
        <v>322</v>
      </c>
      <c r="M211" s="168">
        <v>50</v>
      </c>
      <c r="N211" s="168">
        <v>395</v>
      </c>
      <c r="O211" s="169">
        <v>10246</v>
      </c>
    </row>
    <row r="212" spans="2:15" x14ac:dyDescent="0.25">
      <c r="B212" s="129">
        <v>45413</v>
      </c>
      <c r="C212" s="168">
        <v>421</v>
      </c>
      <c r="D212" s="168">
        <v>4845</v>
      </c>
      <c r="E212" s="168">
        <v>184</v>
      </c>
      <c r="F212" s="168">
        <v>304</v>
      </c>
      <c r="G212" s="168">
        <v>109</v>
      </c>
      <c r="H212" s="168">
        <v>136</v>
      </c>
      <c r="I212" s="168">
        <v>373</v>
      </c>
      <c r="J212" s="168">
        <v>55</v>
      </c>
      <c r="K212" s="168">
        <v>3787</v>
      </c>
      <c r="L212" s="168">
        <v>167</v>
      </c>
      <c r="M212" s="168">
        <v>48</v>
      </c>
      <c r="N212" s="168">
        <v>464</v>
      </c>
      <c r="O212" s="169">
        <v>10893</v>
      </c>
    </row>
    <row r="213" spans="2:15" x14ac:dyDescent="0.25">
      <c r="B213" s="129">
        <v>45444</v>
      </c>
      <c r="C213" s="168">
        <v>358</v>
      </c>
      <c r="D213" s="168">
        <v>4142</v>
      </c>
      <c r="E213" s="168">
        <v>164</v>
      </c>
      <c r="F213" s="168">
        <v>237</v>
      </c>
      <c r="G213" s="168">
        <v>96</v>
      </c>
      <c r="H213" s="168">
        <v>97</v>
      </c>
      <c r="I213" s="168">
        <v>356</v>
      </c>
      <c r="J213" s="168">
        <v>0</v>
      </c>
      <c r="K213" s="168">
        <v>6683</v>
      </c>
      <c r="L213" s="168">
        <v>280</v>
      </c>
      <c r="M213" s="168">
        <v>41</v>
      </c>
      <c r="N213" s="168">
        <v>481</v>
      </c>
      <c r="O213" s="169">
        <v>12935</v>
      </c>
    </row>
    <row r="214" spans="2:15" x14ac:dyDescent="0.25">
      <c r="B214" s="129">
        <v>45474</v>
      </c>
      <c r="C214" s="168">
        <v>442</v>
      </c>
      <c r="D214" s="168">
        <v>4952</v>
      </c>
      <c r="E214" s="168">
        <v>217</v>
      </c>
      <c r="F214" s="168">
        <v>345</v>
      </c>
      <c r="G214" s="168">
        <v>111</v>
      </c>
      <c r="H214" s="168">
        <v>124</v>
      </c>
      <c r="I214" s="168">
        <v>391</v>
      </c>
      <c r="J214" s="168">
        <v>0</v>
      </c>
      <c r="K214" s="168">
        <v>6060</v>
      </c>
      <c r="L214" s="168">
        <v>328</v>
      </c>
      <c r="M214" s="168">
        <v>29</v>
      </c>
      <c r="N214" s="168">
        <v>500</v>
      </c>
      <c r="O214" s="169">
        <v>13499</v>
      </c>
    </row>
    <row r="215" spans="2:15" x14ac:dyDescent="0.25">
      <c r="B215" s="129">
        <v>45505</v>
      </c>
      <c r="C215" s="168">
        <v>290</v>
      </c>
      <c r="D215" s="168">
        <v>3453</v>
      </c>
      <c r="E215" s="168">
        <v>272</v>
      </c>
      <c r="F215" s="168">
        <v>80</v>
      </c>
      <c r="G215" s="168">
        <v>57</v>
      </c>
      <c r="H215" s="168">
        <v>79</v>
      </c>
      <c r="I215" s="168">
        <v>296</v>
      </c>
      <c r="J215" s="168">
        <v>0</v>
      </c>
      <c r="K215" s="168">
        <v>4292</v>
      </c>
      <c r="L215" s="168">
        <v>398</v>
      </c>
      <c r="M215" s="168">
        <v>36</v>
      </c>
      <c r="N215" s="168">
        <v>635</v>
      </c>
      <c r="O215" s="169">
        <v>9888</v>
      </c>
    </row>
    <row r="216" spans="2:15" x14ac:dyDescent="0.25">
      <c r="B216" s="129">
        <v>45536</v>
      </c>
      <c r="C216" s="170">
        <v>520</v>
      </c>
      <c r="D216" s="170">
        <v>6171</v>
      </c>
      <c r="E216" s="170">
        <v>252</v>
      </c>
      <c r="F216" s="170">
        <v>186</v>
      </c>
      <c r="G216" s="170">
        <v>161</v>
      </c>
      <c r="H216" s="170">
        <v>171</v>
      </c>
      <c r="I216" s="170">
        <v>501</v>
      </c>
      <c r="J216" s="170">
        <v>229</v>
      </c>
      <c r="K216" s="170">
        <v>5013</v>
      </c>
      <c r="L216" s="170">
        <v>433</v>
      </c>
      <c r="M216" s="170">
        <v>46</v>
      </c>
      <c r="N216" s="170">
        <v>704</v>
      </c>
      <c r="O216" s="169">
        <v>14387</v>
      </c>
    </row>
    <row r="217" spans="2:15" x14ac:dyDescent="0.25">
      <c r="B217" s="129">
        <v>45566</v>
      </c>
      <c r="C217" s="170">
        <v>426</v>
      </c>
      <c r="D217" s="170">
        <v>5226</v>
      </c>
      <c r="E217" s="170">
        <v>203</v>
      </c>
      <c r="F217" s="170">
        <v>230</v>
      </c>
      <c r="G217" s="170">
        <v>112</v>
      </c>
      <c r="H217" s="170">
        <v>117</v>
      </c>
      <c r="I217" s="170">
        <v>412</v>
      </c>
      <c r="J217" s="170">
        <v>354</v>
      </c>
      <c r="K217" s="170">
        <v>4671</v>
      </c>
      <c r="L217" s="170">
        <v>237</v>
      </c>
      <c r="M217" s="170">
        <v>46</v>
      </c>
      <c r="N217" s="170">
        <v>766</v>
      </c>
      <c r="O217" s="169">
        <v>12800</v>
      </c>
    </row>
    <row r="218" spans="2:15" x14ac:dyDescent="0.25">
      <c r="B218" s="129">
        <v>45597</v>
      </c>
      <c r="C218" s="170">
        <v>307</v>
      </c>
      <c r="D218" s="170">
        <v>4336</v>
      </c>
      <c r="E218" s="170">
        <v>226</v>
      </c>
      <c r="F218" s="170">
        <v>197</v>
      </c>
      <c r="G218" s="170">
        <v>122</v>
      </c>
      <c r="H218" s="170">
        <v>100</v>
      </c>
      <c r="I218" s="170">
        <v>475</v>
      </c>
      <c r="J218" s="170">
        <v>204</v>
      </c>
      <c r="K218" s="170">
        <v>4897</v>
      </c>
      <c r="L218" s="170">
        <v>495</v>
      </c>
      <c r="M218" s="170">
        <v>51</v>
      </c>
      <c r="N218" s="170">
        <v>665</v>
      </c>
      <c r="O218" s="169">
        <v>12075</v>
      </c>
    </row>
    <row r="219" spans="2:15" x14ac:dyDescent="0.25">
      <c r="B219" s="129">
        <v>45627</v>
      </c>
      <c r="C219" s="170">
        <v>614</v>
      </c>
      <c r="D219" s="170">
        <v>7447</v>
      </c>
      <c r="E219" s="170">
        <v>275</v>
      </c>
      <c r="F219" s="170">
        <v>177</v>
      </c>
      <c r="G219" s="170">
        <v>121</v>
      </c>
      <c r="H219" s="170">
        <v>146</v>
      </c>
      <c r="I219" s="170">
        <v>412</v>
      </c>
      <c r="J219" s="170">
        <v>246</v>
      </c>
      <c r="K219" s="170">
        <v>5091</v>
      </c>
      <c r="L219" s="170">
        <v>311</v>
      </c>
      <c r="M219" s="170">
        <v>85</v>
      </c>
      <c r="N219" s="170">
        <v>662</v>
      </c>
      <c r="O219" s="169">
        <v>15587</v>
      </c>
    </row>
    <row r="220" spans="2:15" x14ac:dyDescent="0.25">
      <c r="B220" s="129">
        <v>45658</v>
      </c>
      <c r="C220" s="170">
        <v>484</v>
      </c>
      <c r="D220" s="170">
        <v>6584</v>
      </c>
      <c r="E220" s="170">
        <v>305</v>
      </c>
      <c r="F220" s="170">
        <v>382</v>
      </c>
      <c r="G220" s="170">
        <v>181</v>
      </c>
      <c r="H220" s="170">
        <v>110</v>
      </c>
      <c r="I220" s="170">
        <v>515</v>
      </c>
      <c r="J220" s="170">
        <v>288</v>
      </c>
      <c r="K220" s="170">
        <v>12456</v>
      </c>
      <c r="L220" s="170">
        <v>442</v>
      </c>
      <c r="M220" s="170">
        <v>67</v>
      </c>
      <c r="N220" s="170">
        <v>818</v>
      </c>
      <c r="O220" s="169">
        <f>SUM(C220:N220)</f>
        <v>22632</v>
      </c>
    </row>
    <row r="221" spans="2:15" x14ac:dyDescent="0.25">
      <c r="B221" s="129">
        <v>45689</v>
      </c>
      <c r="C221" s="170">
        <v>377</v>
      </c>
      <c r="D221" s="170">
        <v>5972</v>
      </c>
      <c r="E221" s="170">
        <v>265</v>
      </c>
      <c r="F221" s="170">
        <v>122</v>
      </c>
      <c r="G221" s="170">
        <v>232</v>
      </c>
      <c r="H221" s="170">
        <v>129</v>
      </c>
      <c r="I221" s="170">
        <v>460</v>
      </c>
      <c r="J221" s="170">
        <v>308</v>
      </c>
      <c r="K221" s="170">
        <v>12150</v>
      </c>
      <c r="L221" s="170">
        <v>579</v>
      </c>
      <c r="M221" s="170">
        <v>85</v>
      </c>
      <c r="N221" s="170">
        <v>868</v>
      </c>
      <c r="O221" s="169">
        <f t="shared" ref="O221:O233" si="0">SUM(C221:N221)</f>
        <v>21547</v>
      </c>
    </row>
    <row r="222" spans="2:15" x14ac:dyDescent="0.25">
      <c r="B222" s="129">
        <v>45717</v>
      </c>
      <c r="C222" s="170">
        <v>453</v>
      </c>
      <c r="D222" s="170">
        <v>6807</v>
      </c>
      <c r="E222" s="170">
        <v>203</v>
      </c>
      <c r="F222" s="170">
        <v>289</v>
      </c>
      <c r="G222" s="170">
        <v>193</v>
      </c>
      <c r="H222" s="170">
        <v>155</v>
      </c>
      <c r="I222" s="170">
        <v>583</v>
      </c>
      <c r="J222" s="170">
        <v>285</v>
      </c>
      <c r="K222" s="170">
        <v>12155</v>
      </c>
      <c r="L222" s="170">
        <v>535</v>
      </c>
      <c r="M222" s="170">
        <v>102</v>
      </c>
      <c r="N222" s="170">
        <v>784</v>
      </c>
      <c r="O222" s="169">
        <f t="shared" si="0"/>
        <v>22544</v>
      </c>
    </row>
    <row r="223" spans="2:15" x14ac:dyDescent="0.25">
      <c r="B223" s="129">
        <v>45748</v>
      </c>
      <c r="C223" s="170">
        <v>430</v>
      </c>
      <c r="D223" s="170">
        <v>7398</v>
      </c>
      <c r="E223" s="170">
        <v>274</v>
      </c>
      <c r="F223" s="170">
        <v>236</v>
      </c>
      <c r="G223" s="170">
        <v>187</v>
      </c>
      <c r="H223" s="170">
        <v>144</v>
      </c>
      <c r="I223" s="170">
        <v>574</v>
      </c>
      <c r="J223" s="170">
        <v>348</v>
      </c>
      <c r="K223" s="170">
        <v>10108</v>
      </c>
      <c r="L223" s="170">
        <v>439</v>
      </c>
      <c r="M223" s="170">
        <v>85</v>
      </c>
      <c r="N223" s="170">
        <v>833</v>
      </c>
      <c r="O223" s="169">
        <f t="shared" si="0"/>
        <v>21056</v>
      </c>
    </row>
    <row r="224" spans="2:15" x14ac:dyDescent="0.25">
      <c r="B224" s="129">
        <v>45778</v>
      </c>
      <c r="C224" s="170">
        <v>420</v>
      </c>
      <c r="D224" s="170">
        <v>5953</v>
      </c>
      <c r="E224" s="170">
        <v>225</v>
      </c>
      <c r="F224" s="170">
        <v>280</v>
      </c>
      <c r="G224" s="170">
        <v>123</v>
      </c>
      <c r="H224" s="170">
        <v>138</v>
      </c>
      <c r="I224" s="170">
        <v>600</v>
      </c>
      <c r="J224" s="170">
        <v>311</v>
      </c>
      <c r="K224" s="170">
        <v>10588</v>
      </c>
      <c r="L224" s="170">
        <v>546</v>
      </c>
      <c r="M224" s="170">
        <v>53</v>
      </c>
      <c r="N224" s="170">
        <v>895</v>
      </c>
      <c r="O224" s="169">
        <f t="shared" si="0"/>
        <v>20132</v>
      </c>
    </row>
    <row r="225" spans="2:15" x14ac:dyDescent="0.25">
      <c r="B225" s="129">
        <v>45809</v>
      </c>
      <c r="C225" s="170">
        <v>465</v>
      </c>
      <c r="D225" s="170">
        <v>6718</v>
      </c>
      <c r="E225" s="170">
        <v>273</v>
      </c>
      <c r="F225" s="170">
        <v>372</v>
      </c>
      <c r="G225" s="170">
        <v>131</v>
      </c>
      <c r="H225" s="170">
        <v>150</v>
      </c>
      <c r="I225" s="170">
        <v>483</v>
      </c>
      <c r="J225" s="170">
        <v>416</v>
      </c>
      <c r="K225" s="170">
        <v>12515</v>
      </c>
      <c r="L225" s="170">
        <v>781</v>
      </c>
      <c r="M225" s="170">
        <v>71</v>
      </c>
      <c r="N225" s="170">
        <v>703</v>
      </c>
      <c r="O225" s="169">
        <f t="shared" si="0"/>
        <v>23078</v>
      </c>
    </row>
    <row r="226" spans="2:15" x14ac:dyDescent="0.25">
      <c r="B226" s="129">
        <v>45839</v>
      </c>
      <c r="C226" s="170">
        <v>444</v>
      </c>
      <c r="D226" s="170">
        <v>6360</v>
      </c>
      <c r="E226" s="170">
        <v>292</v>
      </c>
      <c r="F226" s="170">
        <v>521</v>
      </c>
      <c r="G226" s="170">
        <v>152</v>
      </c>
      <c r="H226" s="170">
        <v>207</v>
      </c>
      <c r="I226" s="170">
        <v>565</v>
      </c>
      <c r="J226" s="170">
        <v>409</v>
      </c>
      <c r="K226" s="170">
        <v>11628</v>
      </c>
      <c r="L226" s="170">
        <v>848</v>
      </c>
      <c r="M226" s="170">
        <v>74</v>
      </c>
      <c r="N226" s="170">
        <v>823</v>
      </c>
      <c r="O226" s="169">
        <f t="shared" si="0"/>
        <v>22323</v>
      </c>
    </row>
    <row r="227" spans="2:15" x14ac:dyDescent="0.25">
      <c r="B227" s="129">
        <v>45870</v>
      </c>
      <c r="C227" s="170">
        <v>297</v>
      </c>
      <c r="D227" s="170">
        <v>4598</v>
      </c>
      <c r="E227" s="170">
        <v>218</v>
      </c>
      <c r="F227" s="170">
        <v>343</v>
      </c>
      <c r="G227" s="170">
        <v>142</v>
      </c>
      <c r="H227" s="170">
        <v>116</v>
      </c>
      <c r="I227" s="170">
        <v>535</v>
      </c>
      <c r="J227" s="170">
        <v>373</v>
      </c>
      <c r="K227" s="170">
        <v>15699</v>
      </c>
      <c r="L227" s="170">
        <v>593</v>
      </c>
      <c r="M227" s="170">
        <v>63</v>
      </c>
      <c r="N227" s="170">
        <v>832</v>
      </c>
      <c r="O227" s="169">
        <f t="shared" si="0"/>
        <v>23809</v>
      </c>
    </row>
    <row r="228" spans="2:15" x14ac:dyDescent="0.25">
      <c r="B228" s="129">
        <v>45901</v>
      </c>
      <c r="C228" s="170">
        <v>430</v>
      </c>
      <c r="D228" s="170">
        <v>6063</v>
      </c>
      <c r="E228" s="170">
        <v>310</v>
      </c>
      <c r="F228" s="170">
        <v>371</v>
      </c>
      <c r="G228" s="170">
        <v>149</v>
      </c>
      <c r="H228" s="170">
        <v>207</v>
      </c>
      <c r="I228" s="170">
        <v>550</v>
      </c>
      <c r="J228" s="170">
        <v>550</v>
      </c>
      <c r="K228" s="170">
        <v>13851</v>
      </c>
      <c r="L228" s="170">
        <v>471</v>
      </c>
      <c r="M228" s="170">
        <v>74</v>
      </c>
      <c r="N228" s="170">
        <v>885</v>
      </c>
      <c r="O228" s="169">
        <f t="shared" si="0"/>
        <v>23911</v>
      </c>
    </row>
    <row r="229" spans="2:15" x14ac:dyDescent="0.25">
      <c r="B229" s="129">
        <v>45931</v>
      </c>
      <c r="C229" s="170">
        <v>376</v>
      </c>
      <c r="D229" s="170">
        <v>5617</v>
      </c>
      <c r="E229" s="170">
        <v>225</v>
      </c>
      <c r="F229" s="170">
        <v>345</v>
      </c>
      <c r="G229" s="170">
        <v>158</v>
      </c>
      <c r="H229" s="170">
        <v>138</v>
      </c>
      <c r="I229" s="170">
        <v>609</v>
      </c>
      <c r="J229" s="170">
        <v>433</v>
      </c>
      <c r="K229" s="170">
        <v>15725</v>
      </c>
      <c r="L229" s="170">
        <v>758</v>
      </c>
      <c r="M229" s="170">
        <v>59</v>
      </c>
      <c r="N229" s="170">
        <v>724</v>
      </c>
      <c r="O229" s="169">
        <f t="shared" si="0"/>
        <v>25167</v>
      </c>
    </row>
    <row r="230" spans="2:15" x14ac:dyDescent="0.25">
      <c r="B230" s="129">
        <v>45962</v>
      </c>
      <c r="C230" s="170">
        <v>308</v>
      </c>
      <c r="D230" s="170">
        <v>4639</v>
      </c>
      <c r="E230" s="170">
        <v>227</v>
      </c>
      <c r="F230" s="170">
        <v>474</v>
      </c>
      <c r="G230" s="170">
        <v>128</v>
      </c>
      <c r="H230" s="170">
        <v>124</v>
      </c>
      <c r="I230" s="170">
        <v>532</v>
      </c>
      <c r="J230" s="170">
        <v>444</v>
      </c>
      <c r="K230" s="170">
        <v>18839</v>
      </c>
      <c r="L230" s="170">
        <v>748</v>
      </c>
      <c r="M230" s="170">
        <v>42</v>
      </c>
      <c r="N230" s="170">
        <v>714</v>
      </c>
      <c r="O230" s="169">
        <f t="shared" si="0"/>
        <v>27219</v>
      </c>
    </row>
    <row r="231" spans="2:15" x14ac:dyDescent="0.25">
      <c r="B231" s="129">
        <v>45992</v>
      </c>
      <c r="C231" s="170">
        <v>495</v>
      </c>
      <c r="D231" s="170">
        <v>7656</v>
      </c>
      <c r="E231" s="170">
        <v>244</v>
      </c>
      <c r="F231" s="170">
        <v>422</v>
      </c>
      <c r="G231" s="170">
        <v>204</v>
      </c>
      <c r="H231" s="170">
        <v>269</v>
      </c>
      <c r="I231" s="170">
        <v>713</v>
      </c>
      <c r="J231" s="170">
        <v>353</v>
      </c>
      <c r="K231" s="170">
        <v>19572</v>
      </c>
      <c r="L231" s="170">
        <v>669</v>
      </c>
      <c r="M231" s="170">
        <v>61</v>
      </c>
      <c r="N231" s="170">
        <v>937</v>
      </c>
      <c r="O231" s="169">
        <f t="shared" si="0"/>
        <v>31595</v>
      </c>
    </row>
    <row r="232" spans="2:15" x14ac:dyDescent="0.25">
      <c r="B232" s="129">
        <v>46023</v>
      </c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69">
        <f t="shared" si="0"/>
        <v>0</v>
      </c>
    </row>
    <row r="233" spans="2:15" x14ac:dyDescent="0.25">
      <c r="B233" s="129">
        <v>46054</v>
      </c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69">
        <f t="shared" si="0"/>
        <v>0</v>
      </c>
    </row>
    <row r="234" spans="2:15" x14ac:dyDescent="0.25">
      <c r="B234" s="129">
        <v>46082</v>
      </c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69"/>
    </row>
    <row r="235" spans="2:15" x14ac:dyDescent="0.25">
      <c r="B235" s="129">
        <v>46113</v>
      </c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69"/>
    </row>
    <row r="236" spans="2:15" x14ac:dyDescent="0.25"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69"/>
    </row>
    <row r="237" spans="2:15" x14ac:dyDescent="0.25"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69"/>
    </row>
    <row r="238" spans="2:15" x14ac:dyDescent="0.25"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69"/>
    </row>
    <row r="239" spans="2:15" x14ac:dyDescent="0.25"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69"/>
    </row>
    <row r="240" spans="2:15" x14ac:dyDescent="0.25"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69"/>
    </row>
    <row r="241" spans="3:15" x14ac:dyDescent="0.25"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69"/>
    </row>
    <row r="242" spans="3:15" x14ac:dyDescent="0.25"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69"/>
    </row>
    <row r="243" spans="3:15" x14ac:dyDescent="0.25"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69"/>
    </row>
    <row r="244" spans="3:15" x14ac:dyDescent="0.25"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69"/>
    </row>
    <row r="245" spans="3:15" x14ac:dyDescent="0.25"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6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68DA-16DF-4D7C-9EA8-8A744420E1BD}">
  <dimension ref="A2:F112"/>
  <sheetViews>
    <sheetView workbookViewId="0">
      <pane ySplit="2" topLeftCell="A3" activePane="bottomLeft" state="frozen"/>
      <selection pane="bottomLeft" activeCell="A100" sqref="A100:A110"/>
    </sheetView>
  </sheetViews>
  <sheetFormatPr defaultRowHeight="11.5" x14ac:dyDescent="0.25"/>
  <cols>
    <col min="1" max="1" width="8.81640625" style="1" bestFit="1" customWidth="1"/>
    <col min="2" max="2" width="10.08984375" style="1" bestFit="1" customWidth="1"/>
    <col min="3" max="3" width="13.36328125" style="1" bestFit="1" customWidth="1"/>
    <col min="4" max="4" width="4.453125" style="1" customWidth="1"/>
    <col min="5" max="5" width="10.08984375" style="1" bestFit="1" customWidth="1"/>
    <col min="6" max="6" width="14.7265625" style="1" bestFit="1" customWidth="1"/>
    <col min="7" max="16384" width="8.7265625" style="1"/>
  </cols>
  <sheetData>
    <row r="2" spans="1:6" ht="34.5" x14ac:dyDescent="0.25">
      <c r="A2" s="112" t="s">
        <v>45</v>
      </c>
      <c r="B2" s="100" t="s">
        <v>89</v>
      </c>
      <c r="C2" s="100" t="s">
        <v>90</v>
      </c>
      <c r="D2" s="130"/>
      <c r="E2" s="100" t="s">
        <v>91</v>
      </c>
      <c r="F2" s="131" t="s">
        <v>90</v>
      </c>
    </row>
    <row r="3" spans="1:6" x14ac:dyDescent="0.25">
      <c r="A3" s="58">
        <v>42736</v>
      </c>
      <c r="B3" s="132"/>
      <c r="C3" s="132"/>
      <c r="D3" s="133"/>
      <c r="E3" s="133"/>
      <c r="F3" s="134"/>
    </row>
    <row r="4" spans="1:6" x14ac:dyDescent="0.25">
      <c r="A4" s="58">
        <v>42767</v>
      </c>
      <c r="B4" s="132"/>
      <c r="C4" s="132"/>
      <c r="D4" s="133"/>
      <c r="E4" s="133"/>
      <c r="F4" s="134"/>
    </row>
    <row r="5" spans="1:6" x14ac:dyDescent="0.25">
      <c r="A5" s="58">
        <v>42795</v>
      </c>
      <c r="B5" s="132"/>
      <c r="C5" s="132"/>
      <c r="D5" s="133"/>
      <c r="E5" s="133"/>
      <c r="F5" s="134"/>
    </row>
    <row r="6" spans="1:6" x14ac:dyDescent="0.25">
      <c r="A6" s="58">
        <v>42826</v>
      </c>
      <c r="B6" s="132"/>
      <c r="C6" s="132"/>
      <c r="D6" s="133"/>
      <c r="E6" s="133"/>
      <c r="F6" s="134"/>
    </row>
    <row r="7" spans="1:6" x14ac:dyDescent="0.25">
      <c r="A7" s="58">
        <v>42856</v>
      </c>
      <c r="B7" s="132"/>
      <c r="C7" s="132"/>
      <c r="D7" s="133"/>
      <c r="E7" s="133"/>
      <c r="F7" s="134"/>
    </row>
    <row r="8" spans="1:6" x14ac:dyDescent="0.25">
      <c r="A8" s="58">
        <v>42887</v>
      </c>
      <c r="B8" s="132">
        <v>74691</v>
      </c>
      <c r="C8" s="132">
        <v>79550680</v>
      </c>
      <c r="D8" s="133"/>
      <c r="E8" s="133"/>
      <c r="F8" s="134"/>
    </row>
    <row r="9" spans="1:6" x14ac:dyDescent="0.25">
      <c r="A9" s="58">
        <v>42917</v>
      </c>
      <c r="B9" s="132">
        <v>89718</v>
      </c>
      <c r="C9" s="132">
        <v>87273090</v>
      </c>
      <c r="D9" s="133"/>
      <c r="E9" s="133"/>
      <c r="F9" s="134"/>
    </row>
    <row r="10" spans="1:6" x14ac:dyDescent="0.25">
      <c r="A10" s="58">
        <v>42948</v>
      </c>
      <c r="B10" s="132">
        <v>83344</v>
      </c>
      <c r="C10" s="132">
        <v>74339250</v>
      </c>
      <c r="D10" s="133"/>
      <c r="E10" s="133"/>
      <c r="F10" s="134"/>
    </row>
    <row r="11" spans="1:6" x14ac:dyDescent="0.25">
      <c r="A11" s="58">
        <v>42979</v>
      </c>
      <c r="B11" s="132">
        <v>84748</v>
      </c>
      <c r="C11" s="132">
        <v>58252100</v>
      </c>
      <c r="D11" s="133"/>
      <c r="E11" s="133"/>
      <c r="F11" s="134"/>
    </row>
    <row r="12" spans="1:6" x14ac:dyDescent="0.25">
      <c r="A12" s="58">
        <v>43009</v>
      </c>
      <c r="B12" s="132">
        <v>87756</v>
      </c>
      <c r="C12" s="132">
        <v>79926600</v>
      </c>
      <c r="D12" s="133"/>
      <c r="E12" s="133"/>
      <c r="F12" s="134"/>
    </row>
    <row r="13" spans="1:6" x14ac:dyDescent="0.25">
      <c r="A13" s="58">
        <v>43040</v>
      </c>
      <c r="B13" s="132">
        <v>133618</v>
      </c>
      <c r="C13" s="132">
        <v>141414160</v>
      </c>
      <c r="D13" s="133"/>
      <c r="E13" s="133"/>
      <c r="F13" s="134"/>
    </row>
    <row r="14" spans="1:6" x14ac:dyDescent="0.25">
      <c r="A14" s="58">
        <v>43070</v>
      </c>
      <c r="B14" s="132">
        <v>145180</v>
      </c>
      <c r="C14" s="132">
        <v>106906580</v>
      </c>
      <c r="D14" s="133"/>
      <c r="E14" s="133"/>
      <c r="F14" s="134"/>
    </row>
    <row r="15" spans="1:6" x14ac:dyDescent="0.25">
      <c r="A15" s="58">
        <v>43101</v>
      </c>
      <c r="B15" s="132">
        <v>135772</v>
      </c>
      <c r="C15" s="132">
        <v>110200620</v>
      </c>
      <c r="D15" s="133"/>
      <c r="E15" s="133">
        <v>22346</v>
      </c>
      <c r="F15" s="134">
        <v>25500249</v>
      </c>
    </row>
    <row r="16" spans="1:6" x14ac:dyDescent="0.25">
      <c r="A16" s="58">
        <v>43132</v>
      </c>
      <c r="B16" s="132">
        <v>118360</v>
      </c>
      <c r="C16" s="132">
        <v>101931110</v>
      </c>
      <c r="D16" s="133"/>
      <c r="E16" s="133">
        <v>57633</v>
      </c>
      <c r="F16" s="134">
        <v>49878557</v>
      </c>
    </row>
    <row r="17" spans="1:6" x14ac:dyDescent="0.25">
      <c r="A17" s="58">
        <v>43160</v>
      </c>
      <c r="B17" s="132">
        <v>131698</v>
      </c>
      <c r="C17" s="132">
        <v>125533190</v>
      </c>
      <c r="D17" s="133"/>
      <c r="E17" s="133">
        <v>164254</v>
      </c>
      <c r="F17" s="134">
        <v>181540087</v>
      </c>
    </row>
    <row r="18" spans="1:6" x14ac:dyDescent="0.25">
      <c r="A18" s="58">
        <v>43191</v>
      </c>
      <c r="B18" s="132">
        <v>140581</v>
      </c>
      <c r="C18" s="132">
        <v>91972800</v>
      </c>
      <c r="D18" s="133"/>
      <c r="E18" s="133">
        <v>208577</v>
      </c>
      <c r="F18" s="134">
        <v>258500427</v>
      </c>
    </row>
    <row r="19" spans="1:6" x14ac:dyDescent="0.25">
      <c r="A19" s="58">
        <v>43221</v>
      </c>
      <c r="B19" s="132">
        <v>116171</v>
      </c>
      <c r="C19" s="132">
        <v>129464225</v>
      </c>
      <c r="D19" s="133"/>
      <c r="E19" s="133">
        <v>228800</v>
      </c>
      <c r="F19" s="134">
        <v>294078696</v>
      </c>
    </row>
    <row r="20" spans="1:6" x14ac:dyDescent="0.25">
      <c r="A20" s="58">
        <v>43252</v>
      </c>
      <c r="B20" s="132">
        <v>127381</v>
      </c>
      <c r="C20" s="132">
        <v>132369200</v>
      </c>
      <c r="D20" s="133"/>
      <c r="E20" s="133">
        <v>268787</v>
      </c>
      <c r="F20" s="134">
        <v>425339660</v>
      </c>
    </row>
    <row r="21" spans="1:6" x14ac:dyDescent="0.25">
      <c r="A21" s="58">
        <v>43282</v>
      </c>
      <c r="B21" s="132">
        <v>137676</v>
      </c>
      <c r="C21" s="132">
        <v>194025660</v>
      </c>
      <c r="D21" s="133"/>
      <c r="E21" s="133">
        <v>306105</v>
      </c>
      <c r="F21" s="134">
        <v>527416399</v>
      </c>
    </row>
    <row r="22" spans="1:6" x14ac:dyDescent="0.25">
      <c r="A22" s="58">
        <v>43313</v>
      </c>
      <c r="B22" s="132">
        <v>165971</v>
      </c>
      <c r="C22" s="132">
        <v>120752130</v>
      </c>
      <c r="D22" s="133"/>
      <c r="E22" s="133">
        <v>309902</v>
      </c>
      <c r="F22" s="134">
        <v>429421708</v>
      </c>
    </row>
    <row r="23" spans="1:6" x14ac:dyDescent="0.25">
      <c r="A23" s="58">
        <v>43344</v>
      </c>
      <c r="B23" s="132">
        <v>122958</v>
      </c>
      <c r="C23" s="132">
        <v>121732090</v>
      </c>
      <c r="D23" s="133"/>
      <c r="E23" s="133">
        <v>309873</v>
      </c>
      <c r="F23" s="134">
        <v>422571065</v>
      </c>
    </row>
    <row r="24" spans="1:6" x14ac:dyDescent="0.25">
      <c r="A24" s="58">
        <v>43374</v>
      </c>
      <c r="B24" s="132">
        <v>128456</v>
      </c>
      <c r="C24" s="132">
        <v>165436010</v>
      </c>
      <c r="D24" s="133"/>
      <c r="E24" s="133">
        <v>344283</v>
      </c>
      <c r="F24" s="134">
        <v>476128539</v>
      </c>
    </row>
    <row r="25" spans="1:6" x14ac:dyDescent="0.25">
      <c r="A25" s="58">
        <v>43405</v>
      </c>
      <c r="B25" s="132">
        <v>153885</v>
      </c>
      <c r="C25" s="132">
        <v>220865540</v>
      </c>
      <c r="D25" s="133"/>
      <c r="E25" s="133">
        <v>331752</v>
      </c>
      <c r="F25" s="134">
        <v>500019744</v>
      </c>
    </row>
    <row r="26" spans="1:6" x14ac:dyDescent="0.25">
      <c r="A26" s="58">
        <v>43435</v>
      </c>
      <c r="B26" s="132">
        <v>186718</v>
      </c>
      <c r="C26" s="132">
        <v>97290070</v>
      </c>
      <c r="D26" s="133"/>
      <c r="E26" s="133">
        <v>346362</v>
      </c>
      <c r="F26" s="134">
        <v>500698440</v>
      </c>
    </row>
    <row r="27" spans="1:6" x14ac:dyDescent="0.25">
      <c r="A27" s="58">
        <v>43466</v>
      </c>
      <c r="B27" s="133">
        <v>122110</v>
      </c>
      <c r="C27" s="133">
        <v>125603470</v>
      </c>
      <c r="D27" s="133"/>
      <c r="E27" s="133">
        <v>366991</v>
      </c>
      <c r="F27" s="134">
        <v>507860104</v>
      </c>
    </row>
    <row r="28" spans="1:6" x14ac:dyDescent="0.25">
      <c r="A28" s="58">
        <v>43497</v>
      </c>
      <c r="B28" s="133">
        <v>112207</v>
      </c>
      <c r="C28" s="133">
        <v>125106870</v>
      </c>
      <c r="D28" s="133"/>
      <c r="E28" s="133">
        <v>313936</v>
      </c>
      <c r="F28" s="134">
        <v>435185740</v>
      </c>
    </row>
    <row r="29" spans="1:6" x14ac:dyDescent="0.25">
      <c r="A29" s="58">
        <v>43525</v>
      </c>
      <c r="B29" s="133">
        <v>121237</v>
      </c>
      <c r="C29" s="133">
        <v>175688410</v>
      </c>
      <c r="D29" s="133"/>
      <c r="E29" s="133">
        <v>343293</v>
      </c>
      <c r="F29" s="134">
        <v>460997943</v>
      </c>
    </row>
    <row r="30" spans="1:6" x14ac:dyDescent="0.25">
      <c r="A30" s="58">
        <v>43556</v>
      </c>
      <c r="B30" s="133">
        <v>159328</v>
      </c>
      <c r="C30" s="133">
        <v>123271010</v>
      </c>
      <c r="D30" s="133"/>
      <c r="E30" s="133">
        <v>372661</v>
      </c>
      <c r="F30" s="134">
        <v>1002665000</v>
      </c>
    </row>
    <row r="31" spans="1:6" x14ac:dyDescent="0.25">
      <c r="A31" s="58">
        <v>43586</v>
      </c>
      <c r="B31" s="133">
        <v>116601</v>
      </c>
      <c r="C31" s="133">
        <v>141627650</v>
      </c>
      <c r="D31" s="133"/>
      <c r="E31" s="133">
        <v>336606</v>
      </c>
      <c r="F31" s="134">
        <v>929475000</v>
      </c>
    </row>
    <row r="32" spans="1:6" x14ac:dyDescent="0.25">
      <c r="A32" s="58">
        <v>43617</v>
      </c>
      <c r="B32" s="133">
        <v>133002</v>
      </c>
      <c r="C32" s="133">
        <v>145928374</v>
      </c>
      <c r="D32" s="133"/>
      <c r="E32" s="133">
        <v>349947</v>
      </c>
      <c r="F32" s="134">
        <v>953787500</v>
      </c>
    </row>
    <row r="33" spans="1:6" x14ac:dyDescent="0.25">
      <c r="A33" s="58">
        <v>43647</v>
      </c>
      <c r="B33" s="133">
        <v>135582</v>
      </c>
      <c r="C33" s="133">
        <v>148146300</v>
      </c>
      <c r="D33" s="133"/>
      <c r="E33" s="133">
        <v>387616</v>
      </c>
      <c r="F33" s="134">
        <v>1088642500</v>
      </c>
    </row>
    <row r="34" spans="1:6" x14ac:dyDescent="0.25">
      <c r="A34" s="58">
        <v>43678</v>
      </c>
      <c r="B34" s="133">
        <v>165588</v>
      </c>
      <c r="C34" s="133">
        <v>165777610</v>
      </c>
      <c r="D34" s="133"/>
      <c r="E34" s="133">
        <v>430450</v>
      </c>
      <c r="F34" s="134">
        <v>1154765000</v>
      </c>
    </row>
    <row r="35" spans="1:6" x14ac:dyDescent="0.25">
      <c r="A35" s="58">
        <v>43709</v>
      </c>
      <c r="B35" s="133">
        <v>122123</v>
      </c>
      <c r="C35" s="133">
        <v>132920490</v>
      </c>
      <c r="D35" s="133"/>
      <c r="E35" s="133">
        <v>356919</v>
      </c>
      <c r="F35" s="134">
        <v>1007791632</v>
      </c>
    </row>
    <row r="36" spans="1:6" x14ac:dyDescent="0.25">
      <c r="A36" s="58">
        <v>43739</v>
      </c>
      <c r="B36" s="133"/>
      <c r="C36" s="133"/>
      <c r="D36" s="133"/>
      <c r="E36" s="133"/>
      <c r="F36" s="134"/>
    </row>
    <row r="37" spans="1:6" x14ac:dyDescent="0.25">
      <c r="A37" s="58">
        <v>43770</v>
      </c>
      <c r="B37" s="133"/>
      <c r="C37" s="133"/>
      <c r="D37" s="133"/>
      <c r="E37" s="133"/>
      <c r="F37" s="134"/>
    </row>
    <row r="38" spans="1:6" x14ac:dyDescent="0.25">
      <c r="A38" s="58">
        <v>43800</v>
      </c>
      <c r="B38" s="133"/>
      <c r="C38" s="133"/>
      <c r="D38" s="133"/>
      <c r="E38" s="133"/>
      <c r="F38" s="134"/>
    </row>
    <row r="39" spans="1:6" x14ac:dyDescent="0.25">
      <c r="A39" s="58">
        <v>43831</v>
      </c>
      <c r="B39" s="133">
        <v>117380</v>
      </c>
      <c r="C39" s="133">
        <v>130259172</v>
      </c>
      <c r="D39" s="133"/>
      <c r="E39" s="133">
        <v>375828</v>
      </c>
      <c r="F39" s="134">
        <v>1092488053</v>
      </c>
    </row>
    <row r="40" spans="1:6" x14ac:dyDescent="0.25">
      <c r="A40" s="58">
        <v>43862</v>
      </c>
      <c r="B40" s="133">
        <v>114241</v>
      </c>
      <c r="C40" s="133">
        <v>127932570</v>
      </c>
      <c r="D40" s="133"/>
      <c r="E40" s="133">
        <v>293088</v>
      </c>
      <c r="F40" s="134">
        <v>834306615</v>
      </c>
    </row>
    <row r="41" spans="1:6" x14ac:dyDescent="0.25">
      <c r="A41" s="58">
        <v>43891</v>
      </c>
      <c r="B41" s="133">
        <v>89109</v>
      </c>
      <c r="C41" s="133">
        <v>95221510</v>
      </c>
      <c r="D41" s="133"/>
      <c r="E41" s="133">
        <v>259138</v>
      </c>
      <c r="F41" s="134">
        <v>755413357</v>
      </c>
    </row>
    <row r="42" spans="1:6" x14ac:dyDescent="0.25">
      <c r="A42" s="58">
        <v>43922</v>
      </c>
      <c r="B42" s="133">
        <v>6363</v>
      </c>
      <c r="C42" s="133">
        <v>5905980</v>
      </c>
      <c r="D42" s="133"/>
      <c r="E42" s="133">
        <v>327091</v>
      </c>
      <c r="F42" s="134">
        <v>929475946</v>
      </c>
    </row>
    <row r="43" spans="1:6" x14ac:dyDescent="0.25">
      <c r="A43" s="58">
        <v>43952</v>
      </c>
      <c r="B43" s="133"/>
      <c r="C43" s="133"/>
      <c r="D43" s="133"/>
      <c r="E43" s="133">
        <v>342326</v>
      </c>
      <c r="F43" s="134">
        <v>962667608</v>
      </c>
    </row>
    <row r="44" spans="1:6" x14ac:dyDescent="0.25">
      <c r="A44" s="58">
        <v>43983</v>
      </c>
      <c r="B44" s="133"/>
      <c r="C44" s="133"/>
      <c r="D44" s="133"/>
      <c r="E44" s="133">
        <v>383782</v>
      </c>
      <c r="F44" s="134">
        <v>1029900407</v>
      </c>
    </row>
    <row r="45" spans="1:6" x14ac:dyDescent="0.25">
      <c r="A45" s="58">
        <v>44013</v>
      </c>
      <c r="B45" s="133">
        <v>19502</v>
      </c>
      <c r="C45" s="133">
        <v>22833600</v>
      </c>
      <c r="D45" s="133"/>
      <c r="E45" s="133">
        <v>421745</v>
      </c>
      <c r="F45" s="134">
        <v>1233867659</v>
      </c>
    </row>
    <row r="46" spans="1:6" x14ac:dyDescent="0.25">
      <c r="A46" s="58">
        <v>44044</v>
      </c>
      <c r="B46" s="133">
        <v>32641</v>
      </c>
      <c r="C46" s="133">
        <v>39471550</v>
      </c>
      <c r="D46" s="133"/>
      <c r="E46" s="133">
        <v>414775</v>
      </c>
      <c r="F46" s="134">
        <v>1115103597</v>
      </c>
    </row>
    <row r="47" spans="1:6" x14ac:dyDescent="0.25">
      <c r="A47" s="58">
        <v>44075</v>
      </c>
      <c r="B47" s="133">
        <v>43235</v>
      </c>
      <c r="C47" s="133">
        <v>51837050</v>
      </c>
      <c r="D47" s="133"/>
      <c r="E47" s="133">
        <v>369246</v>
      </c>
      <c r="F47" s="134">
        <v>1037717598</v>
      </c>
    </row>
    <row r="48" spans="1:6" x14ac:dyDescent="0.25">
      <c r="A48" s="58">
        <v>44105</v>
      </c>
      <c r="B48" s="133">
        <v>112411</v>
      </c>
      <c r="C48" s="133">
        <v>125443750</v>
      </c>
      <c r="D48" s="133"/>
      <c r="E48" s="133">
        <v>427388</v>
      </c>
      <c r="F48" s="134">
        <v>1178620650</v>
      </c>
    </row>
    <row r="49" spans="1:6" x14ac:dyDescent="0.25">
      <c r="A49" s="58">
        <v>44136</v>
      </c>
      <c r="B49" s="133">
        <v>119238</v>
      </c>
      <c r="C49" s="133">
        <v>128922180</v>
      </c>
      <c r="D49" s="133"/>
      <c r="E49" s="133">
        <v>412426</v>
      </c>
      <c r="F49" s="134">
        <v>1162966849</v>
      </c>
    </row>
    <row r="50" spans="1:6" x14ac:dyDescent="0.25">
      <c r="A50" s="58">
        <v>44166</v>
      </c>
      <c r="B50" s="133">
        <v>157432</v>
      </c>
      <c r="C50" s="133">
        <v>168201190</v>
      </c>
      <c r="D50" s="133"/>
      <c r="E50" s="133">
        <v>391610</v>
      </c>
      <c r="F50" s="134">
        <v>1103652196</v>
      </c>
    </row>
    <row r="51" spans="1:6" x14ac:dyDescent="0.25">
      <c r="A51" s="58">
        <v>44197</v>
      </c>
      <c r="B51" s="133">
        <v>152951</v>
      </c>
      <c r="C51" s="133">
        <v>163768440</v>
      </c>
      <c r="D51" s="133"/>
      <c r="E51" s="133">
        <v>449731</v>
      </c>
      <c r="F51" s="134">
        <v>1051986508</v>
      </c>
    </row>
    <row r="52" spans="1:6" x14ac:dyDescent="0.25">
      <c r="A52" s="58">
        <v>44228</v>
      </c>
      <c r="B52" s="133">
        <v>138922</v>
      </c>
      <c r="C52" s="133">
        <v>156558140</v>
      </c>
      <c r="D52" s="133"/>
      <c r="E52" s="133">
        <v>434204</v>
      </c>
      <c r="F52" s="134">
        <v>1008035069</v>
      </c>
    </row>
    <row r="53" spans="1:6" x14ac:dyDescent="0.25">
      <c r="A53" s="58">
        <v>44256</v>
      </c>
      <c r="B53" s="133">
        <v>156653</v>
      </c>
      <c r="C53" s="133">
        <v>174392600</v>
      </c>
      <c r="D53" s="133"/>
      <c r="E53" s="133">
        <v>507924</v>
      </c>
      <c r="F53" s="134">
        <v>1109039860</v>
      </c>
    </row>
    <row r="54" spans="1:6" x14ac:dyDescent="0.25">
      <c r="A54" s="58">
        <v>44287</v>
      </c>
      <c r="B54" s="133">
        <v>643</v>
      </c>
      <c r="C54" s="133">
        <v>67560</v>
      </c>
      <c r="D54" s="133"/>
      <c r="E54" s="133">
        <v>460787</v>
      </c>
      <c r="F54" s="134">
        <v>1000272863</v>
      </c>
    </row>
    <row r="55" spans="1:6" x14ac:dyDescent="0.25">
      <c r="A55" s="58">
        <v>44317</v>
      </c>
      <c r="B55" s="133">
        <v>141403</v>
      </c>
      <c r="C55" s="133">
        <v>152376090</v>
      </c>
      <c r="D55" s="133"/>
      <c r="E55" s="133">
        <v>434733</v>
      </c>
      <c r="F55" s="134">
        <v>963026946</v>
      </c>
    </row>
    <row r="56" spans="1:6" x14ac:dyDescent="0.25">
      <c r="A56" s="58">
        <v>44348</v>
      </c>
      <c r="B56" s="133">
        <v>163741</v>
      </c>
      <c r="C56" s="133">
        <v>182759840</v>
      </c>
      <c r="D56" s="133"/>
      <c r="E56" s="133">
        <v>430455</v>
      </c>
      <c r="F56" s="134">
        <v>907962250</v>
      </c>
    </row>
    <row r="57" spans="1:6" x14ac:dyDescent="0.25">
      <c r="A57" s="58">
        <v>44378</v>
      </c>
      <c r="B57" s="133">
        <v>223106</v>
      </c>
      <c r="C57" s="133">
        <v>243004595</v>
      </c>
      <c r="D57" s="133"/>
      <c r="E57" s="133">
        <v>361308</v>
      </c>
      <c r="F57" s="134">
        <v>901893390</v>
      </c>
    </row>
    <row r="58" spans="1:6" x14ac:dyDescent="0.25">
      <c r="A58" s="58">
        <v>44409</v>
      </c>
      <c r="B58" s="133">
        <v>201539</v>
      </c>
      <c r="C58" s="133">
        <v>227271996</v>
      </c>
      <c r="D58" s="133"/>
      <c r="E58" s="133">
        <v>398925</v>
      </c>
      <c r="F58" s="134">
        <v>939572008</v>
      </c>
    </row>
    <row r="59" spans="1:6" x14ac:dyDescent="0.25">
      <c r="A59" s="58">
        <v>44440</v>
      </c>
      <c r="B59" s="133">
        <v>175425</v>
      </c>
      <c r="C59" s="133">
        <v>195647010</v>
      </c>
      <c r="D59" s="133"/>
      <c r="E59" s="133">
        <v>446954</v>
      </c>
      <c r="F59" s="134">
        <v>1036426489</v>
      </c>
    </row>
    <row r="60" spans="1:6" x14ac:dyDescent="0.25">
      <c r="A60" s="58">
        <v>44470</v>
      </c>
      <c r="B60" s="133">
        <v>216469</v>
      </c>
      <c r="C60" s="133">
        <v>244798380</v>
      </c>
      <c r="D60" s="133"/>
      <c r="E60" s="133">
        <v>506157</v>
      </c>
      <c r="F60" s="134">
        <v>1030159408</v>
      </c>
    </row>
    <row r="61" spans="1:6" x14ac:dyDescent="0.25">
      <c r="A61" s="58">
        <v>44501</v>
      </c>
      <c r="B61" s="133">
        <v>172584</v>
      </c>
      <c r="C61" s="133">
        <v>193674600</v>
      </c>
      <c r="D61" s="133"/>
      <c r="E61" s="133">
        <v>500470</v>
      </c>
      <c r="F61" s="134">
        <v>1123647363</v>
      </c>
    </row>
    <row r="62" spans="1:6" x14ac:dyDescent="0.25">
      <c r="A62" s="58">
        <v>44531</v>
      </c>
      <c r="B62" s="133">
        <v>242332</v>
      </c>
      <c r="C62" s="133">
        <v>266872933</v>
      </c>
      <c r="D62" s="133"/>
      <c r="E62" s="133">
        <v>475760</v>
      </c>
      <c r="F62" s="134">
        <v>1105484219</v>
      </c>
    </row>
    <row r="63" spans="1:6" x14ac:dyDescent="0.25">
      <c r="A63" s="58">
        <v>44562</v>
      </c>
      <c r="B63" s="133">
        <v>160053</v>
      </c>
      <c r="C63" s="133">
        <v>176370640</v>
      </c>
      <c r="D63" s="133"/>
      <c r="E63" s="133">
        <v>477247</v>
      </c>
      <c r="F63" s="134">
        <v>966804389</v>
      </c>
    </row>
    <row r="64" spans="1:6" x14ac:dyDescent="0.25">
      <c r="A64" s="58">
        <v>44593</v>
      </c>
      <c r="B64" s="133">
        <v>130374</v>
      </c>
      <c r="C64" s="133">
        <v>149288100</v>
      </c>
      <c r="D64" s="133"/>
      <c r="E64" s="133">
        <v>538524</v>
      </c>
      <c r="F64" s="134">
        <v>1064639949</v>
      </c>
    </row>
    <row r="65" spans="1:6" x14ac:dyDescent="0.25">
      <c r="A65" s="58">
        <v>44621</v>
      </c>
      <c r="B65" s="133">
        <v>228353</v>
      </c>
      <c r="C65" s="133">
        <v>243613780</v>
      </c>
      <c r="D65" s="133"/>
      <c r="E65" s="133">
        <v>520203</v>
      </c>
      <c r="F65" s="134">
        <v>1051062325</v>
      </c>
    </row>
    <row r="66" spans="1:6" x14ac:dyDescent="0.25">
      <c r="A66" s="58">
        <v>44652</v>
      </c>
      <c r="B66" s="133">
        <v>264119</v>
      </c>
      <c r="C66" s="133">
        <v>279579940</v>
      </c>
      <c r="D66" s="133"/>
      <c r="E66" s="133">
        <v>429640</v>
      </c>
      <c r="F66" s="134">
        <v>951312836</v>
      </c>
    </row>
    <row r="67" spans="1:6" x14ac:dyDescent="0.25">
      <c r="A67" s="58">
        <v>44682</v>
      </c>
      <c r="B67" s="133">
        <v>175936</v>
      </c>
      <c r="C67" s="133">
        <v>204124500</v>
      </c>
      <c r="D67" s="133"/>
      <c r="E67" s="133">
        <v>495619</v>
      </c>
      <c r="F67" s="134">
        <v>1013027042</v>
      </c>
    </row>
    <row r="68" spans="1:6" x14ac:dyDescent="0.25">
      <c r="A68" s="58">
        <v>44713</v>
      </c>
      <c r="B68" s="133">
        <v>163102</v>
      </c>
      <c r="C68" s="133">
        <v>188759280</v>
      </c>
      <c r="D68" s="133"/>
      <c r="E68" s="133">
        <v>515569</v>
      </c>
      <c r="F68" s="134">
        <v>1124728284</v>
      </c>
    </row>
    <row r="69" spans="1:6" x14ac:dyDescent="0.25">
      <c r="A69" s="58">
        <v>44743</v>
      </c>
      <c r="B69" s="133">
        <v>228007</v>
      </c>
      <c r="C69" s="133">
        <v>253997710</v>
      </c>
      <c r="D69" s="133"/>
      <c r="E69" s="133">
        <v>543994</v>
      </c>
      <c r="F69" s="134">
        <v>1277633943</v>
      </c>
    </row>
    <row r="70" spans="1:6" x14ac:dyDescent="0.25">
      <c r="A70" s="58">
        <v>44774</v>
      </c>
      <c r="B70" s="133">
        <v>178669</v>
      </c>
      <c r="C70" s="133">
        <v>228532337</v>
      </c>
      <c r="D70" s="133"/>
      <c r="E70" s="133">
        <v>513408</v>
      </c>
      <c r="F70" s="134">
        <v>1169477945</v>
      </c>
    </row>
    <row r="71" spans="1:6" x14ac:dyDescent="0.25">
      <c r="A71" s="58">
        <v>44805</v>
      </c>
      <c r="B71" s="133">
        <v>209084</v>
      </c>
      <c r="C71" s="133">
        <v>193350040</v>
      </c>
      <c r="D71" s="133"/>
      <c r="E71" s="133">
        <v>517300</v>
      </c>
      <c r="F71" s="134">
        <v>1247995266</v>
      </c>
    </row>
    <row r="72" spans="1:6" x14ac:dyDescent="0.25">
      <c r="A72" s="58">
        <v>44835</v>
      </c>
      <c r="B72" s="133"/>
      <c r="C72" s="133"/>
      <c r="D72" s="133"/>
      <c r="E72" s="133"/>
      <c r="F72" s="134"/>
    </row>
    <row r="73" spans="1:6" x14ac:dyDescent="0.25">
      <c r="A73" s="58">
        <v>44866</v>
      </c>
      <c r="B73" s="133"/>
      <c r="C73" s="133"/>
      <c r="D73" s="133"/>
      <c r="E73" s="133"/>
      <c r="F73" s="134"/>
    </row>
    <row r="74" spans="1:6" x14ac:dyDescent="0.25">
      <c r="A74" s="58">
        <v>44896</v>
      </c>
      <c r="B74" s="133"/>
      <c r="C74" s="133"/>
      <c r="D74" s="133"/>
      <c r="E74" s="133"/>
      <c r="F74" s="134"/>
    </row>
    <row r="75" spans="1:6" x14ac:dyDescent="0.25">
      <c r="A75" s="58">
        <v>44927</v>
      </c>
      <c r="B75" s="133">
        <v>247011</v>
      </c>
      <c r="C75" s="133">
        <v>261959811</v>
      </c>
      <c r="D75" s="133"/>
      <c r="E75" s="133">
        <v>543189</v>
      </c>
      <c r="F75" s="134">
        <v>1107569456</v>
      </c>
    </row>
    <row r="76" spans="1:6" x14ac:dyDescent="0.25">
      <c r="A76" s="58">
        <v>44958</v>
      </c>
      <c r="B76" s="133">
        <v>163016</v>
      </c>
      <c r="C76" s="133">
        <v>185441748</v>
      </c>
      <c r="D76" s="133"/>
      <c r="E76" s="133">
        <v>493583</v>
      </c>
      <c r="F76" s="134">
        <v>923073763</v>
      </c>
    </row>
    <row r="77" spans="1:6" x14ac:dyDescent="0.25">
      <c r="A77" s="58">
        <v>44986</v>
      </c>
      <c r="B77" s="133">
        <v>187479</v>
      </c>
      <c r="C77" s="133">
        <v>212753724</v>
      </c>
      <c r="D77" s="133"/>
      <c r="E77" s="133">
        <v>541125</v>
      </c>
      <c r="F77" s="134">
        <v>1126004560</v>
      </c>
    </row>
    <row r="78" spans="1:6" x14ac:dyDescent="0.25">
      <c r="A78" s="58">
        <v>45017</v>
      </c>
      <c r="B78" s="133">
        <v>239685</v>
      </c>
      <c r="C78" s="133">
        <v>251428757</v>
      </c>
      <c r="D78" s="133"/>
      <c r="E78" s="133">
        <v>503077</v>
      </c>
      <c r="F78" s="134">
        <v>1090933128</v>
      </c>
    </row>
    <row r="79" spans="1:6" x14ac:dyDescent="0.25">
      <c r="A79" s="58">
        <v>45047</v>
      </c>
      <c r="B79" s="133">
        <v>214050</v>
      </c>
      <c r="C79" s="133">
        <v>234581352</v>
      </c>
      <c r="D79" s="133"/>
      <c r="E79" s="133">
        <v>551055</v>
      </c>
      <c r="F79" s="134">
        <v>1276575680</v>
      </c>
    </row>
    <row r="80" spans="1:6" x14ac:dyDescent="0.25">
      <c r="A80" s="58">
        <v>45078</v>
      </c>
      <c r="B80" s="133">
        <v>198564</v>
      </c>
      <c r="C80" s="133">
        <v>224413327</v>
      </c>
      <c r="D80" s="133"/>
      <c r="E80" s="133">
        <v>550068</v>
      </c>
      <c r="F80" s="134">
        <v>1136597321</v>
      </c>
    </row>
    <row r="81" spans="1:6" x14ac:dyDescent="0.25">
      <c r="A81" s="58">
        <v>45108</v>
      </c>
      <c r="B81" s="133">
        <v>216113</v>
      </c>
      <c r="C81" s="133">
        <v>287368189</v>
      </c>
      <c r="D81" s="133"/>
      <c r="E81" s="133">
        <v>574867</v>
      </c>
      <c r="F81" s="134">
        <v>1003638397</v>
      </c>
    </row>
    <row r="82" spans="1:6" x14ac:dyDescent="0.25">
      <c r="A82" s="58">
        <v>45139</v>
      </c>
      <c r="B82" s="133">
        <v>278929</v>
      </c>
      <c r="C82" s="133">
        <v>219042972</v>
      </c>
      <c r="D82" s="133"/>
      <c r="E82" s="133">
        <v>580882</v>
      </c>
      <c r="F82" s="134">
        <v>1612253911</v>
      </c>
    </row>
    <row r="83" spans="1:6" x14ac:dyDescent="0.25">
      <c r="A83" s="58">
        <v>45170</v>
      </c>
      <c r="B83" s="133">
        <v>206090</v>
      </c>
      <c r="C83" s="133">
        <v>258385666</v>
      </c>
      <c r="D83" s="133"/>
      <c r="E83" s="133">
        <v>579202</v>
      </c>
      <c r="F83" s="134">
        <v>1448085771</v>
      </c>
    </row>
    <row r="84" spans="1:6" x14ac:dyDescent="0.25">
      <c r="A84" s="58">
        <v>45200</v>
      </c>
      <c r="B84" s="133">
        <v>233272</v>
      </c>
      <c r="C84" s="133">
        <v>248781504</v>
      </c>
      <c r="D84" s="133"/>
      <c r="E84" s="133">
        <v>580824</v>
      </c>
      <c r="F84" s="134">
        <v>1407057863</v>
      </c>
    </row>
    <row r="85" spans="1:6" x14ac:dyDescent="0.25">
      <c r="A85" s="58">
        <v>45231</v>
      </c>
      <c r="B85" s="133">
        <v>239411</v>
      </c>
      <c r="C85" s="133">
        <v>250492888</v>
      </c>
      <c r="D85" s="133"/>
      <c r="E85" s="133">
        <v>514843</v>
      </c>
      <c r="F85" s="134">
        <v>1252428985</v>
      </c>
    </row>
    <row r="86" spans="1:6" x14ac:dyDescent="0.25">
      <c r="A86" s="58">
        <v>45261</v>
      </c>
      <c r="B86" s="133">
        <v>304605</v>
      </c>
      <c r="C86" s="133">
        <v>305282393</v>
      </c>
      <c r="D86" s="133"/>
      <c r="E86" s="133">
        <v>520313</v>
      </c>
      <c r="F86" s="134">
        <v>1300344312</v>
      </c>
    </row>
    <row r="87" spans="1:6" x14ac:dyDescent="0.25">
      <c r="A87" s="58">
        <v>45292</v>
      </c>
      <c r="B87" s="133">
        <v>192376</v>
      </c>
      <c r="C87" s="133">
        <v>312443190</v>
      </c>
      <c r="D87" s="133"/>
      <c r="E87" s="133">
        <v>511240</v>
      </c>
      <c r="F87" s="134">
        <v>1287415699</v>
      </c>
    </row>
    <row r="88" spans="1:6" x14ac:dyDescent="0.25">
      <c r="A88" s="58">
        <v>45323</v>
      </c>
      <c r="B88" s="133">
        <v>158652</v>
      </c>
      <c r="C88" s="133">
        <v>270396935</v>
      </c>
      <c r="D88" s="133"/>
      <c r="E88" s="133">
        <v>342867</v>
      </c>
      <c r="F88" s="134">
        <v>981146545</v>
      </c>
    </row>
    <row r="89" spans="1:6" x14ac:dyDescent="0.25">
      <c r="A89" s="58">
        <v>45352</v>
      </c>
      <c r="B89" s="133">
        <v>180645</v>
      </c>
      <c r="C89" s="133">
        <v>297978910</v>
      </c>
      <c r="D89" s="133"/>
      <c r="E89" s="133">
        <v>449200</v>
      </c>
      <c r="F89" s="134">
        <v>976099344</v>
      </c>
    </row>
    <row r="90" spans="1:6" x14ac:dyDescent="0.25">
      <c r="A90" s="58">
        <v>45383</v>
      </c>
      <c r="B90" s="133">
        <v>241664</v>
      </c>
      <c r="C90" s="133">
        <v>385335205</v>
      </c>
      <c r="D90" s="133"/>
      <c r="E90" s="133">
        <v>565312</v>
      </c>
      <c r="F90" s="134">
        <v>1178827369</v>
      </c>
    </row>
    <row r="91" spans="1:6" x14ac:dyDescent="0.25">
      <c r="A91" s="58">
        <v>45413</v>
      </c>
      <c r="B91" s="133">
        <v>168525</v>
      </c>
      <c r="C91" s="133">
        <v>279275780</v>
      </c>
      <c r="D91" s="133"/>
      <c r="E91" s="133">
        <v>615636</v>
      </c>
      <c r="F91" s="134">
        <v>1273798341</v>
      </c>
    </row>
    <row r="92" spans="1:6" x14ac:dyDescent="0.25">
      <c r="A92" s="58">
        <v>45444</v>
      </c>
      <c r="B92" s="133">
        <v>186920</v>
      </c>
      <c r="C92" s="133">
        <v>306995535</v>
      </c>
      <c r="D92" s="133"/>
      <c r="E92" s="133">
        <v>562376</v>
      </c>
      <c r="F92" s="134">
        <v>1007356946</v>
      </c>
    </row>
    <row r="93" spans="1:6" x14ac:dyDescent="0.25">
      <c r="A93" s="58">
        <v>45474</v>
      </c>
      <c r="B93" s="133">
        <v>192768</v>
      </c>
      <c r="C93" s="133">
        <v>319120339</v>
      </c>
      <c r="D93" s="133"/>
      <c r="E93" s="133">
        <v>625419</v>
      </c>
      <c r="F93" s="134">
        <v>1273012684</v>
      </c>
    </row>
    <row r="94" spans="1:6" x14ac:dyDescent="0.25">
      <c r="A94" s="58">
        <v>45505</v>
      </c>
      <c r="B94" s="133">
        <v>281683</v>
      </c>
      <c r="C94" s="133">
        <v>440588930</v>
      </c>
      <c r="D94" s="133"/>
      <c r="E94" s="133">
        <v>582389</v>
      </c>
      <c r="F94" s="134">
        <v>1174986643</v>
      </c>
    </row>
    <row r="95" spans="1:6" x14ac:dyDescent="0.25">
      <c r="A95" s="58">
        <v>45536</v>
      </c>
      <c r="B95" s="133">
        <v>175901</v>
      </c>
      <c r="C95" s="133">
        <v>296449919</v>
      </c>
      <c r="D95" s="133"/>
      <c r="E95" s="133">
        <v>512537</v>
      </c>
      <c r="F95" s="134">
        <v>1178025854</v>
      </c>
    </row>
    <row r="96" spans="1:6" x14ac:dyDescent="0.25">
      <c r="A96" s="58">
        <v>45566</v>
      </c>
      <c r="B96" s="133">
        <v>197738</v>
      </c>
      <c r="C96" s="133">
        <v>347105655</v>
      </c>
      <c r="D96" s="133"/>
      <c r="E96" s="133">
        <v>593696</v>
      </c>
      <c r="F96" s="134">
        <v>1151900202</v>
      </c>
    </row>
    <row r="97" spans="1:6" x14ac:dyDescent="0.25">
      <c r="A97" s="58">
        <v>45597</v>
      </c>
      <c r="B97" s="133">
        <v>218192</v>
      </c>
      <c r="C97" s="133">
        <v>389794345</v>
      </c>
      <c r="D97" s="133"/>
      <c r="E97" s="133">
        <v>600736</v>
      </c>
      <c r="F97" s="134">
        <v>1230383553</v>
      </c>
    </row>
    <row r="98" spans="1:6" x14ac:dyDescent="0.25">
      <c r="A98" s="58">
        <v>45627</v>
      </c>
      <c r="B98" s="133">
        <v>251920</v>
      </c>
      <c r="C98" s="133">
        <v>452997302</v>
      </c>
      <c r="D98" s="133"/>
      <c r="E98" s="133">
        <v>569525</v>
      </c>
      <c r="F98" s="134">
        <v>1261268286</v>
      </c>
    </row>
    <row r="99" spans="1:6" x14ac:dyDescent="0.25">
      <c r="A99" s="58">
        <v>45658</v>
      </c>
      <c r="B99" s="133">
        <v>188238</v>
      </c>
      <c r="C99" s="133">
        <v>342132052</v>
      </c>
      <c r="E99" s="133">
        <v>634034</v>
      </c>
      <c r="F99" s="134">
        <v>1219245310</v>
      </c>
    </row>
    <row r="100" spans="1:6" x14ac:dyDescent="0.25">
      <c r="A100" s="58">
        <v>45689</v>
      </c>
      <c r="B100" s="133">
        <v>168897</v>
      </c>
      <c r="C100" s="133">
        <v>299565562</v>
      </c>
      <c r="E100" s="133">
        <v>549818</v>
      </c>
      <c r="F100" s="134">
        <v>1216097119</v>
      </c>
    </row>
    <row r="101" spans="1:6" x14ac:dyDescent="0.25">
      <c r="A101" s="58">
        <v>45717</v>
      </c>
      <c r="B101" s="133">
        <v>172456</v>
      </c>
      <c r="C101" s="133">
        <v>294602044</v>
      </c>
      <c r="E101" s="133">
        <v>636724</v>
      </c>
      <c r="F101" s="134">
        <v>1383682199</v>
      </c>
    </row>
    <row r="102" spans="1:6" x14ac:dyDescent="0.25">
      <c r="A102" s="58">
        <v>45748</v>
      </c>
      <c r="B102" s="133">
        <v>248509</v>
      </c>
      <c r="C102" s="133">
        <v>432239691</v>
      </c>
      <c r="E102" s="133">
        <v>575883</v>
      </c>
      <c r="F102" s="134">
        <v>1844653400</v>
      </c>
    </row>
    <row r="103" spans="1:6" x14ac:dyDescent="0.25">
      <c r="A103" s="58">
        <v>45778</v>
      </c>
      <c r="B103" s="133">
        <v>183359</v>
      </c>
      <c r="C103" s="133">
        <v>325869622</v>
      </c>
      <c r="E103" s="133">
        <v>586036</v>
      </c>
      <c r="F103" s="134">
        <v>1622865941</v>
      </c>
    </row>
    <row r="104" spans="1:6" x14ac:dyDescent="0.25">
      <c r="A104" s="58">
        <v>45809</v>
      </c>
      <c r="B104" s="133">
        <v>226717</v>
      </c>
      <c r="C104" s="133">
        <v>373942037</v>
      </c>
      <c r="E104" s="133">
        <v>732510</v>
      </c>
      <c r="F104" s="134">
        <v>1546799367</v>
      </c>
    </row>
    <row r="105" spans="1:6" x14ac:dyDescent="0.25">
      <c r="A105" s="58">
        <v>45839</v>
      </c>
      <c r="B105" s="133">
        <v>221999</v>
      </c>
      <c r="C105" s="133">
        <v>396932490</v>
      </c>
      <c r="E105" s="133">
        <v>620217</v>
      </c>
      <c r="F105" s="134">
        <v>1345596501</v>
      </c>
    </row>
    <row r="106" spans="1:6" x14ac:dyDescent="0.25">
      <c r="A106" s="58">
        <v>45870</v>
      </c>
      <c r="B106" s="133">
        <v>291584</v>
      </c>
      <c r="C106" s="133">
        <v>509245484</v>
      </c>
      <c r="E106" s="133">
        <v>557743</v>
      </c>
      <c r="F106" s="134">
        <v>1167120833</v>
      </c>
    </row>
    <row r="107" spans="1:6" x14ac:dyDescent="0.25">
      <c r="A107" s="58">
        <v>45901</v>
      </c>
      <c r="B107" s="133">
        <v>192802</v>
      </c>
      <c r="C107" s="133">
        <v>347264029</v>
      </c>
      <c r="E107" s="133">
        <v>520203</v>
      </c>
      <c r="F107" s="134">
        <v>1214188198</v>
      </c>
    </row>
    <row r="108" spans="1:6" x14ac:dyDescent="0.25">
      <c r="A108" s="58">
        <v>45931</v>
      </c>
      <c r="B108" s="133">
        <v>233842</v>
      </c>
      <c r="C108" s="133">
        <v>423923476</v>
      </c>
      <c r="E108" s="133">
        <v>640812</v>
      </c>
      <c r="F108" s="134">
        <v>1262262907</v>
      </c>
    </row>
    <row r="109" spans="1:6" x14ac:dyDescent="0.25">
      <c r="A109" s="58">
        <v>45962</v>
      </c>
      <c r="B109" s="133">
        <v>258600</v>
      </c>
      <c r="C109" s="133">
        <v>445965603</v>
      </c>
      <c r="E109" s="133">
        <v>696721</v>
      </c>
      <c r="F109" s="134">
        <v>1321052465</v>
      </c>
    </row>
    <row r="110" spans="1:6" x14ac:dyDescent="0.25">
      <c r="A110" s="58">
        <v>45992</v>
      </c>
      <c r="B110" s="133">
        <v>344391</v>
      </c>
      <c r="C110" s="133">
        <v>602259052</v>
      </c>
      <c r="E110" s="133">
        <v>732497</v>
      </c>
      <c r="F110" s="134">
        <v>1493993092</v>
      </c>
    </row>
    <row r="111" spans="1:6" x14ac:dyDescent="0.25">
      <c r="A111" s="58"/>
      <c r="B111" s="133"/>
      <c r="C111" s="133"/>
      <c r="E111" s="133"/>
      <c r="F111" s="134"/>
    </row>
    <row r="112" spans="1:6" x14ac:dyDescent="0.25">
      <c r="A112" s="58"/>
      <c r="B112" s="133"/>
      <c r="C112" s="133"/>
      <c r="E112" s="133"/>
      <c r="F112" s="13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7AFD-6118-4010-A267-A3521700E7B7}">
  <dimension ref="A2:S66"/>
  <sheetViews>
    <sheetView tabSelected="1" workbookViewId="0">
      <pane ySplit="2" topLeftCell="A53" activePane="bottomLeft" state="frozen"/>
      <selection pane="bottomLeft" activeCell="E62" sqref="E62"/>
    </sheetView>
  </sheetViews>
  <sheetFormatPr defaultRowHeight="14" x14ac:dyDescent="0.3"/>
  <cols>
    <col min="1" max="1" width="8.81640625" style="12" bestFit="1" customWidth="1"/>
    <col min="2" max="2" width="8.7265625" style="12"/>
    <col min="3" max="3" width="11.453125" style="12" bestFit="1" customWidth="1"/>
    <col min="4" max="7" width="10.08984375" style="12" bestFit="1" customWidth="1"/>
    <col min="8" max="8" width="11.453125" style="12" bestFit="1" customWidth="1"/>
    <col min="9" max="9" width="8.7265625" style="12"/>
    <col min="10" max="10" width="10.08984375" style="12" bestFit="1" customWidth="1"/>
    <col min="11" max="12" width="9.1796875" style="12" bestFit="1" customWidth="1"/>
    <col min="13" max="13" width="8.81640625" style="12" bestFit="1" customWidth="1"/>
    <col min="14" max="15" width="8.90625" style="12" bestFit="1" customWidth="1"/>
    <col min="16" max="17" width="10.08984375" style="12" bestFit="1" customWidth="1"/>
    <col min="18" max="18" width="9.1796875" style="12" bestFit="1" customWidth="1"/>
    <col min="19" max="19" width="11.453125" style="12" bestFit="1" customWidth="1"/>
    <col min="20" max="16384" width="8.7265625" style="12"/>
  </cols>
  <sheetData>
    <row r="2" spans="1:19" ht="46" x14ac:dyDescent="0.3">
      <c r="A2" s="112" t="s">
        <v>33</v>
      </c>
      <c r="B2" s="100" t="s">
        <v>52</v>
      </c>
      <c r="C2" s="36" t="s">
        <v>93</v>
      </c>
      <c r="D2" s="36" t="s">
        <v>94</v>
      </c>
      <c r="E2" s="36" t="s">
        <v>95</v>
      </c>
      <c r="F2" s="36" t="s">
        <v>150</v>
      </c>
      <c r="G2" s="36" t="s">
        <v>96</v>
      </c>
      <c r="H2" s="36" t="s">
        <v>97</v>
      </c>
      <c r="I2" s="100" t="s">
        <v>48</v>
      </c>
      <c r="J2" s="36" t="s">
        <v>93</v>
      </c>
      <c r="K2" s="36" t="s">
        <v>98</v>
      </c>
      <c r="L2" s="36" t="s">
        <v>95</v>
      </c>
      <c r="M2" s="36" t="s">
        <v>150</v>
      </c>
      <c r="N2" s="36" t="s">
        <v>99</v>
      </c>
      <c r="O2" s="36" t="s">
        <v>96</v>
      </c>
      <c r="P2" s="36" t="s">
        <v>97</v>
      </c>
      <c r="Q2" s="36" t="s">
        <v>100</v>
      </c>
      <c r="R2" s="36" t="s">
        <v>101</v>
      </c>
      <c r="S2" s="30" t="s">
        <v>102</v>
      </c>
    </row>
    <row r="3" spans="1:19" x14ac:dyDescent="0.3">
      <c r="A3" s="58">
        <v>44197</v>
      </c>
      <c r="B3" s="4"/>
      <c r="C3" s="66">
        <v>919137</v>
      </c>
      <c r="D3" s="66">
        <v>80678</v>
      </c>
      <c r="E3" s="66">
        <v>843199</v>
      </c>
      <c r="F3" s="66">
        <v>700928</v>
      </c>
      <c r="G3" s="66">
        <v>104773</v>
      </c>
      <c r="H3" s="66">
        <v>2648715</v>
      </c>
      <c r="I3" s="24"/>
      <c r="J3" s="66">
        <v>307117</v>
      </c>
      <c r="K3" s="66">
        <v>1917</v>
      </c>
      <c r="L3" s="66">
        <v>23000</v>
      </c>
      <c r="M3" s="66">
        <v>6375</v>
      </c>
      <c r="N3" s="66">
        <v>4675</v>
      </c>
      <c r="O3" s="24" t="s">
        <v>71</v>
      </c>
      <c r="P3" s="66">
        <v>343084</v>
      </c>
      <c r="Q3" s="66">
        <v>169373</v>
      </c>
      <c r="R3" s="66">
        <v>8564</v>
      </c>
      <c r="S3" s="66">
        <v>3169736</v>
      </c>
    </row>
    <row r="4" spans="1:19" x14ac:dyDescent="0.3">
      <c r="A4" s="58">
        <v>44228</v>
      </c>
      <c r="B4" s="4"/>
      <c r="C4" s="66">
        <v>779537</v>
      </c>
      <c r="D4" s="66">
        <v>260641</v>
      </c>
      <c r="E4" s="66">
        <v>713814</v>
      </c>
      <c r="F4" s="66">
        <v>640567</v>
      </c>
      <c r="G4" s="66">
        <v>86948</v>
      </c>
      <c r="H4" s="66">
        <v>2481507</v>
      </c>
      <c r="I4" s="24"/>
      <c r="J4" s="66">
        <v>319425</v>
      </c>
      <c r="K4" s="66">
        <v>5884</v>
      </c>
      <c r="L4" s="66">
        <v>64000</v>
      </c>
      <c r="M4" s="24" t="s">
        <v>71</v>
      </c>
      <c r="N4" s="24">
        <v>491</v>
      </c>
      <c r="O4" s="24" t="s">
        <v>71</v>
      </c>
      <c r="P4" s="66">
        <v>389800</v>
      </c>
      <c r="Q4" s="66">
        <v>336718</v>
      </c>
      <c r="R4" s="66">
        <v>6655</v>
      </c>
      <c r="S4" s="66">
        <v>3214680</v>
      </c>
    </row>
    <row r="5" spans="1:19" x14ac:dyDescent="0.3">
      <c r="A5" s="58">
        <v>44256</v>
      </c>
      <c r="B5" s="4"/>
      <c r="C5" s="66">
        <v>842021</v>
      </c>
      <c r="D5" s="66">
        <v>265459</v>
      </c>
      <c r="E5" s="66">
        <v>917329</v>
      </c>
      <c r="F5" s="66">
        <v>700991</v>
      </c>
      <c r="G5" s="66">
        <v>57172</v>
      </c>
      <c r="H5" s="66">
        <v>2782972</v>
      </c>
      <c r="I5" s="24"/>
      <c r="J5" s="66">
        <v>409106</v>
      </c>
      <c r="K5" s="66">
        <v>5142</v>
      </c>
      <c r="L5" s="66">
        <v>41000</v>
      </c>
      <c r="M5" s="66">
        <v>6148</v>
      </c>
      <c r="N5" s="66">
        <v>3111</v>
      </c>
      <c r="O5" s="24" t="s">
        <v>71</v>
      </c>
      <c r="P5" s="66">
        <v>464507</v>
      </c>
      <c r="Q5" s="66">
        <v>223422</v>
      </c>
      <c r="R5" s="66">
        <v>7163</v>
      </c>
      <c r="S5" s="66">
        <v>3478064</v>
      </c>
    </row>
    <row r="6" spans="1:19" x14ac:dyDescent="0.3">
      <c r="A6" s="58">
        <v>44287</v>
      </c>
      <c r="B6" s="4"/>
      <c r="C6" s="66">
        <v>739722</v>
      </c>
      <c r="D6" s="66">
        <v>235942</v>
      </c>
      <c r="E6" s="66">
        <v>576876</v>
      </c>
      <c r="F6" s="66">
        <v>596002</v>
      </c>
      <c r="G6" s="66">
        <v>137618</v>
      </c>
      <c r="H6" s="66">
        <v>2286160</v>
      </c>
      <c r="I6" s="24"/>
      <c r="J6" s="66">
        <v>349474</v>
      </c>
      <c r="K6" s="66">
        <v>6038</v>
      </c>
      <c r="L6" s="24" t="s">
        <v>71</v>
      </c>
      <c r="M6" s="66">
        <v>3000</v>
      </c>
      <c r="N6" s="66">
        <v>2300</v>
      </c>
      <c r="O6" s="24" t="s">
        <v>71</v>
      </c>
      <c r="P6" s="66">
        <v>360812</v>
      </c>
      <c r="Q6" s="66">
        <v>190324</v>
      </c>
      <c r="R6" s="66">
        <v>13522</v>
      </c>
      <c r="S6" s="66">
        <v>2850818</v>
      </c>
    </row>
    <row r="7" spans="1:19" x14ac:dyDescent="0.3">
      <c r="A7" s="58">
        <v>44317</v>
      </c>
      <c r="B7" s="4"/>
      <c r="C7" s="66">
        <v>735020</v>
      </c>
      <c r="D7" s="66">
        <v>254784</v>
      </c>
      <c r="E7" s="66">
        <v>634296</v>
      </c>
      <c r="F7" s="66">
        <v>675219</v>
      </c>
      <c r="G7" s="66">
        <v>82648</v>
      </c>
      <c r="H7" s="66">
        <v>2381967</v>
      </c>
      <c r="I7" s="24"/>
      <c r="J7" s="66">
        <v>343946</v>
      </c>
      <c r="K7" s="66">
        <v>11286</v>
      </c>
      <c r="L7" s="66">
        <v>65000</v>
      </c>
      <c r="M7" s="66">
        <v>2750</v>
      </c>
      <c r="N7" s="24">
        <v>698</v>
      </c>
      <c r="O7" s="24" t="s">
        <v>71</v>
      </c>
      <c r="P7" s="66">
        <v>423680</v>
      </c>
      <c r="Q7" s="66">
        <v>211461</v>
      </c>
      <c r="R7" s="66">
        <v>13824</v>
      </c>
      <c r="S7" s="66">
        <v>3030932</v>
      </c>
    </row>
    <row r="8" spans="1:19" x14ac:dyDescent="0.3">
      <c r="A8" s="58">
        <v>44348</v>
      </c>
      <c r="B8" s="4"/>
      <c r="C8" s="66">
        <v>702897</v>
      </c>
      <c r="D8" s="66">
        <v>183565</v>
      </c>
      <c r="E8" s="66">
        <v>968488</v>
      </c>
      <c r="F8" s="66">
        <v>429387</v>
      </c>
      <c r="G8" s="66">
        <v>59460</v>
      </c>
      <c r="H8" s="66">
        <v>2343797</v>
      </c>
      <c r="I8" s="24"/>
      <c r="J8" s="66">
        <v>322395</v>
      </c>
      <c r="K8" s="66">
        <v>2546</v>
      </c>
      <c r="L8" s="66">
        <v>30000</v>
      </c>
      <c r="M8" s="66">
        <v>2500</v>
      </c>
      <c r="N8" s="24">
        <v>792</v>
      </c>
      <c r="O8" s="24" t="s">
        <v>71</v>
      </c>
      <c r="P8" s="66">
        <v>358232</v>
      </c>
      <c r="Q8" s="66">
        <v>197428</v>
      </c>
      <c r="R8" s="66">
        <v>12223</v>
      </c>
      <c r="S8" s="66">
        <v>2911680</v>
      </c>
    </row>
    <row r="9" spans="1:19" x14ac:dyDescent="0.3">
      <c r="A9" s="58">
        <v>44378</v>
      </c>
      <c r="B9" s="4"/>
      <c r="C9" s="66">
        <v>721768</v>
      </c>
      <c r="D9" s="66">
        <v>244138</v>
      </c>
      <c r="E9" s="66">
        <v>389531</v>
      </c>
      <c r="F9" s="66">
        <v>752922</v>
      </c>
      <c r="G9" s="66">
        <v>80350</v>
      </c>
      <c r="H9" s="66">
        <v>2188709</v>
      </c>
      <c r="I9" s="24"/>
      <c r="J9" s="66">
        <v>332581</v>
      </c>
      <c r="K9" s="24">
        <v>749</v>
      </c>
      <c r="L9" s="66">
        <v>10000</v>
      </c>
      <c r="M9" s="66">
        <v>4466</v>
      </c>
      <c r="N9" s="66">
        <v>1253</v>
      </c>
      <c r="O9" s="24" t="s">
        <v>71</v>
      </c>
      <c r="P9" s="66">
        <v>349049</v>
      </c>
      <c r="Q9" s="66">
        <v>238661</v>
      </c>
      <c r="R9" s="66">
        <v>9242</v>
      </c>
      <c r="S9" s="66">
        <v>2785661</v>
      </c>
    </row>
    <row r="10" spans="1:19" x14ac:dyDescent="0.3">
      <c r="A10" s="58">
        <v>44409</v>
      </c>
      <c r="B10" s="4"/>
      <c r="C10" s="66">
        <v>771931</v>
      </c>
      <c r="D10" s="66">
        <v>144253</v>
      </c>
      <c r="E10" s="66">
        <v>580380</v>
      </c>
      <c r="F10" s="66">
        <v>607033</v>
      </c>
      <c r="G10" s="66">
        <v>97777</v>
      </c>
      <c r="H10" s="66">
        <v>2201374</v>
      </c>
      <c r="I10" s="24"/>
      <c r="J10" s="66">
        <v>363608</v>
      </c>
      <c r="K10" s="66">
        <v>5316</v>
      </c>
      <c r="L10" s="66">
        <v>43650</v>
      </c>
      <c r="M10" s="66">
        <v>1500</v>
      </c>
      <c r="N10" s="66">
        <v>1308</v>
      </c>
      <c r="O10" s="24" t="s">
        <v>71</v>
      </c>
      <c r="P10" s="66">
        <v>415382</v>
      </c>
      <c r="Q10" s="66">
        <v>140937</v>
      </c>
      <c r="R10" s="66">
        <v>10164</v>
      </c>
      <c r="S10" s="66">
        <v>2767857</v>
      </c>
    </row>
    <row r="11" spans="1:19" x14ac:dyDescent="0.3">
      <c r="A11" s="58">
        <v>44440</v>
      </c>
      <c r="B11" s="4"/>
      <c r="C11" s="66">
        <v>674580</v>
      </c>
      <c r="D11" s="66">
        <v>152977</v>
      </c>
      <c r="E11" s="66">
        <v>494272</v>
      </c>
      <c r="F11" s="66">
        <v>569033</v>
      </c>
      <c r="G11" s="66">
        <v>92240</v>
      </c>
      <c r="H11" s="66">
        <v>1983102</v>
      </c>
      <c r="I11" s="24"/>
      <c r="J11" s="66">
        <v>301805</v>
      </c>
      <c r="K11" s="66">
        <v>2001</v>
      </c>
      <c r="L11" s="66">
        <v>50000</v>
      </c>
      <c r="M11" s="66">
        <v>6050</v>
      </c>
      <c r="N11" s="66">
        <v>1400</v>
      </c>
      <c r="O11" s="24" t="s">
        <v>71</v>
      </c>
      <c r="P11" s="66">
        <v>361256</v>
      </c>
      <c r="Q11" s="66">
        <v>147391</v>
      </c>
      <c r="R11" s="66">
        <v>14151</v>
      </c>
      <c r="S11" s="66">
        <v>2505900</v>
      </c>
    </row>
    <row r="12" spans="1:19" x14ac:dyDescent="0.3">
      <c r="A12" s="58">
        <v>44470</v>
      </c>
      <c r="B12" s="4"/>
      <c r="C12" s="66">
        <v>676027</v>
      </c>
      <c r="D12" s="66">
        <v>190095</v>
      </c>
      <c r="E12" s="66">
        <v>528142</v>
      </c>
      <c r="F12" s="66">
        <v>713828</v>
      </c>
      <c r="G12" s="66">
        <v>122576</v>
      </c>
      <c r="H12" s="66">
        <v>2230668</v>
      </c>
      <c r="I12" s="24"/>
      <c r="J12" s="66">
        <v>269919</v>
      </c>
      <c r="K12" s="66">
        <v>6810</v>
      </c>
      <c r="L12" s="66">
        <v>62000</v>
      </c>
      <c r="M12" s="24" t="s">
        <v>71</v>
      </c>
      <c r="N12" s="66">
        <v>2246</v>
      </c>
      <c r="O12" s="24" t="s">
        <v>71</v>
      </c>
      <c r="P12" s="66">
        <v>340975</v>
      </c>
      <c r="Q12" s="66">
        <v>196985</v>
      </c>
      <c r="R12" s="66">
        <v>9579</v>
      </c>
      <c r="S12" s="66">
        <v>2778207</v>
      </c>
    </row>
    <row r="13" spans="1:19" x14ac:dyDescent="0.3">
      <c r="A13" s="58">
        <v>44501</v>
      </c>
      <c r="B13" s="4"/>
      <c r="C13" s="66">
        <v>828753</v>
      </c>
      <c r="D13" s="66">
        <v>186757</v>
      </c>
      <c r="E13" s="66">
        <v>446675</v>
      </c>
      <c r="F13" s="66">
        <v>610835</v>
      </c>
      <c r="G13" s="66">
        <v>82515</v>
      </c>
      <c r="H13" s="66">
        <v>2155535</v>
      </c>
      <c r="I13" s="24"/>
      <c r="J13" s="66">
        <v>329253</v>
      </c>
      <c r="K13" s="66">
        <v>2868</v>
      </c>
      <c r="L13" s="24" t="s">
        <v>71</v>
      </c>
      <c r="M13" s="24" t="s">
        <v>71</v>
      </c>
      <c r="N13" s="66">
        <v>1601</v>
      </c>
      <c r="O13" s="24" t="s">
        <v>71</v>
      </c>
      <c r="P13" s="66">
        <v>333722</v>
      </c>
      <c r="Q13" s="66">
        <v>241449</v>
      </c>
      <c r="R13" s="66">
        <v>7242</v>
      </c>
      <c r="S13" s="66">
        <v>2737948</v>
      </c>
    </row>
    <row r="14" spans="1:19" x14ac:dyDescent="0.3">
      <c r="A14" s="58">
        <v>44531</v>
      </c>
      <c r="B14" s="4"/>
      <c r="C14" s="66">
        <v>736482</v>
      </c>
      <c r="D14" s="66">
        <v>185632</v>
      </c>
      <c r="E14" s="66">
        <v>323135</v>
      </c>
      <c r="F14" s="66">
        <v>668014</v>
      </c>
      <c r="G14" s="66">
        <v>94685</v>
      </c>
      <c r="H14" s="66">
        <v>2007948</v>
      </c>
      <c r="I14" s="24"/>
      <c r="J14" s="66">
        <v>294305</v>
      </c>
      <c r="K14" s="66">
        <v>4692</v>
      </c>
      <c r="L14" s="66">
        <v>66400</v>
      </c>
      <c r="M14" s="24" t="s">
        <v>71</v>
      </c>
      <c r="N14" s="66">
        <v>1503</v>
      </c>
      <c r="O14" s="24" t="s">
        <v>71</v>
      </c>
      <c r="P14" s="66">
        <v>366900</v>
      </c>
      <c r="Q14" s="66">
        <v>145213</v>
      </c>
      <c r="R14" s="66">
        <v>8877</v>
      </c>
      <c r="S14" s="66">
        <v>2528938</v>
      </c>
    </row>
    <row r="15" spans="1:19" x14ac:dyDescent="0.3">
      <c r="A15" s="58">
        <v>44562</v>
      </c>
      <c r="B15" s="4"/>
      <c r="C15" s="66">
        <v>771317</v>
      </c>
      <c r="D15" s="66">
        <v>157240</v>
      </c>
      <c r="E15" s="66">
        <v>466464</v>
      </c>
      <c r="F15" s="66">
        <v>689849</v>
      </c>
      <c r="G15" s="66">
        <v>46148</v>
      </c>
      <c r="H15" s="66">
        <v>2131018</v>
      </c>
      <c r="I15" s="24"/>
      <c r="J15" s="66">
        <v>336695</v>
      </c>
      <c r="K15" s="66">
        <v>1643</v>
      </c>
      <c r="L15" s="66">
        <v>32300</v>
      </c>
      <c r="M15" s="24" t="s">
        <v>71</v>
      </c>
      <c r="N15" s="66">
        <v>1602</v>
      </c>
      <c r="O15" s="24"/>
      <c r="P15" s="66">
        <v>372240</v>
      </c>
      <c r="Q15" s="66">
        <v>155951</v>
      </c>
      <c r="R15" s="66">
        <v>7595</v>
      </c>
      <c r="S15" s="66">
        <v>2666804</v>
      </c>
    </row>
    <row r="16" spans="1:19" x14ac:dyDescent="0.3">
      <c r="A16" s="58">
        <v>44593</v>
      </c>
      <c r="B16" s="4"/>
      <c r="C16" s="66">
        <v>798388</v>
      </c>
      <c r="D16" s="66">
        <v>128152</v>
      </c>
      <c r="E16" s="66">
        <v>536532</v>
      </c>
      <c r="F16" s="66">
        <v>661944</v>
      </c>
      <c r="G16" s="66">
        <v>86538</v>
      </c>
      <c r="H16" s="66">
        <v>2211554</v>
      </c>
      <c r="I16" s="24"/>
      <c r="J16" s="66">
        <v>361111</v>
      </c>
      <c r="K16" s="66">
        <v>2397</v>
      </c>
      <c r="L16" s="66">
        <v>6400</v>
      </c>
      <c r="M16" s="24" t="s">
        <v>71</v>
      </c>
      <c r="N16" s="24">
        <v>2</v>
      </c>
      <c r="O16" s="24" t="s">
        <v>71</v>
      </c>
      <c r="P16" s="66">
        <v>369910</v>
      </c>
      <c r="Q16" s="66">
        <v>208876</v>
      </c>
      <c r="R16" s="66">
        <v>7806</v>
      </c>
      <c r="S16" s="66">
        <v>2798146</v>
      </c>
    </row>
    <row r="17" spans="1:19" x14ac:dyDescent="0.3">
      <c r="A17" s="58">
        <v>44621</v>
      </c>
      <c r="B17" s="4"/>
      <c r="C17" s="66">
        <v>643218</v>
      </c>
      <c r="D17" s="66">
        <v>235026</v>
      </c>
      <c r="E17" s="66">
        <v>653404</v>
      </c>
      <c r="F17" s="66">
        <v>846074</v>
      </c>
      <c r="G17" s="66">
        <v>59775</v>
      </c>
      <c r="H17" s="66">
        <v>2437497</v>
      </c>
      <c r="I17" s="24"/>
      <c r="J17" s="66">
        <v>352548</v>
      </c>
      <c r="K17" s="66">
        <v>6621</v>
      </c>
      <c r="L17" s="66">
        <v>121500</v>
      </c>
      <c r="M17" s="24"/>
      <c r="N17" s="24" t="s">
        <v>71</v>
      </c>
      <c r="O17" s="24"/>
      <c r="P17" s="66">
        <v>480669</v>
      </c>
      <c r="Q17" s="66">
        <v>242379</v>
      </c>
      <c r="R17" s="66">
        <v>12428</v>
      </c>
      <c r="S17" s="66">
        <v>3172973</v>
      </c>
    </row>
    <row r="18" spans="1:19" x14ac:dyDescent="0.3">
      <c r="A18" s="58">
        <v>44652</v>
      </c>
      <c r="B18" s="4"/>
      <c r="C18" s="66">
        <v>739334</v>
      </c>
      <c r="D18" s="66">
        <v>209610</v>
      </c>
      <c r="E18" s="66">
        <v>665995</v>
      </c>
      <c r="F18" s="66">
        <v>554568</v>
      </c>
      <c r="G18" s="66">
        <v>54304</v>
      </c>
      <c r="H18" s="66">
        <v>2223811</v>
      </c>
      <c r="I18" s="24"/>
      <c r="J18" s="66">
        <v>332395</v>
      </c>
      <c r="K18" s="66">
        <v>1827</v>
      </c>
      <c r="L18" s="66">
        <v>17000</v>
      </c>
      <c r="M18" s="24"/>
      <c r="N18" s="24"/>
      <c r="O18" s="24" t="s">
        <v>71</v>
      </c>
      <c r="P18" s="66">
        <v>351222</v>
      </c>
      <c r="Q18" s="66">
        <v>260539</v>
      </c>
      <c r="R18" s="66">
        <v>8329</v>
      </c>
      <c r="S18" s="66">
        <v>2843901</v>
      </c>
    </row>
    <row r="19" spans="1:19" x14ac:dyDescent="0.3">
      <c r="A19" s="58">
        <v>44682</v>
      </c>
      <c r="B19" s="4"/>
      <c r="C19" s="66">
        <v>684621</v>
      </c>
      <c r="D19" s="66">
        <v>227933</v>
      </c>
      <c r="E19" s="66">
        <v>861878</v>
      </c>
      <c r="F19" s="66">
        <v>731105</v>
      </c>
      <c r="G19" s="66">
        <v>83559</v>
      </c>
      <c r="H19" s="66">
        <v>2589096</v>
      </c>
      <c r="I19" s="24"/>
      <c r="J19" s="66">
        <v>330656</v>
      </c>
      <c r="K19" s="66">
        <v>5748</v>
      </c>
      <c r="L19" s="66">
        <v>64000</v>
      </c>
      <c r="M19" s="24" t="s">
        <v>71</v>
      </c>
      <c r="N19" s="66">
        <v>2648</v>
      </c>
      <c r="O19" s="24" t="s">
        <v>71</v>
      </c>
      <c r="P19" s="66">
        <v>403052</v>
      </c>
      <c r="Q19" s="66">
        <v>305630</v>
      </c>
      <c r="R19" s="66">
        <v>5832</v>
      </c>
      <c r="S19" s="66">
        <v>3303610</v>
      </c>
    </row>
    <row r="20" spans="1:19" x14ac:dyDescent="0.3">
      <c r="A20" s="58">
        <v>44713</v>
      </c>
      <c r="B20" s="4"/>
      <c r="C20" s="66">
        <v>827565</v>
      </c>
      <c r="D20" s="66">
        <v>177509</v>
      </c>
      <c r="E20" s="66">
        <v>515520</v>
      </c>
      <c r="F20" s="66">
        <v>526358</v>
      </c>
      <c r="G20" s="66">
        <v>68400</v>
      </c>
      <c r="H20" s="66">
        <v>2115352</v>
      </c>
      <c r="I20" s="24"/>
      <c r="J20" s="66">
        <v>385806</v>
      </c>
      <c r="K20" s="66">
        <v>1572</v>
      </c>
      <c r="L20" s="66">
        <v>40000</v>
      </c>
      <c r="M20" s="24" t="s">
        <v>71</v>
      </c>
      <c r="N20" s="24" t="s">
        <v>71</v>
      </c>
      <c r="O20" s="24" t="s">
        <v>71</v>
      </c>
      <c r="P20" s="66">
        <v>427378</v>
      </c>
      <c r="Q20" s="66">
        <v>139223</v>
      </c>
      <c r="R20" s="66">
        <v>6924</v>
      </c>
      <c r="S20" s="66">
        <v>2688877</v>
      </c>
    </row>
    <row r="21" spans="1:19" x14ac:dyDescent="0.3">
      <c r="A21" s="58">
        <v>44743</v>
      </c>
      <c r="B21" s="4"/>
      <c r="C21" s="66">
        <v>794036</v>
      </c>
      <c r="D21" s="66">
        <v>310575</v>
      </c>
      <c r="E21" s="66">
        <v>449133</v>
      </c>
      <c r="F21" s="66">
        <v>743141</v>
      </c>
      <c r="G21" s="66">
        <v>79614</v>
      </c>
      <c r="H21" s="66">
        <v>2376499</v>
      </c>
      <c r="I21" s="24"/>
      <c r="J21" s="66">
        <v>399557</v>
      </c>
      <c r="K21" s="24">
        <v>603</v>
      </c>
      <c r="L21" s="66">
        <v>10550</v>
      </c>
      <c r="M21" s="24" t="s">
        <v>71</v>
      </c>
      <c r="N21" s="24">
        <v>587</v>
      </c>
      <c r="O21" s="24" t="s">
        <v>71</v>
      </c>
      <c r="P21" s="66">
        <v>411297</v>
      </c>
      <c r="Q21" s="66">
        <v>190846</v>
      </c>
      <c r="R21" s="66">
        <v>8405</v>
      </c>
      <c r="S21" s="66">
        <v>2987047</v>
      </c>
    </row>
    <row r="22" spans="1:19" x14ac:dyDescent="0.3">
      <c r="A22" s="58">
        <v>44774</v>
      </c>
      <c r="B22" s="4"/>
      <c r="C22" s="66">
        <v>800151</v>
      </c>
      <c r="D22" s="66">
        <v>251378</v>
      </c>
      <c r="E22" s="66">
        <v>342054</v>
      </c>
      <c r="F22" s="66">
        <v>668068</v>
      </c>
      <c r="G22" s="66">
        <v>89489</v>
      </c>
      <c r="H22" s="66">
        <v>2151140</v>
      </c>
      <c r="I22" s="24"/>
      <c r="J22" s="66">
        <v>331692</v>
      </c>
      <c r="K22" s="66">
        <v>6981</v>
      </c>
      <c r="L22" s="66">
        <v>54000</v>
      </c>
      <c r="M22" s="66">
        <v>6869</v>
      </c>
      <c r="N22" s="66">
        <v>1820</v>
      </c>
      <c r="O22" s="24" t="s">
        <v>71</v>
      </c>
      <c r="P22" s="66">
        <v>401362</v>
      </c>
      <c r="Q22" s="66">
        <v>148791</v>
      </c>
      <c r="R22" s="66">
        <v>4640</v>
      </c>
      <c r="S22" s="66">
        <v>2705933</v>
      </c>
    </row>
    <row r="23" spans="1:19" x14ac:dyDescent="0.3">
      <c r="A23" s="58">
        <v>44805</v>
      </c>
      <c r="B23" s="4"/>
      <c r="C23" s="66">
        <v>685409</v>
      </c>
      <c r="D23" s="66">
        <v>203338</v>
      </c>
      <c r="E23" s="66">
        <v>567352</v>
      </c>
      <c r="F23" s="66">
        <v>496007</v>
      </c>
      <c r="G23" s="66">
        <v>10193</v>
      </c>
      <c r="H23" s="66">
        <v>1962299</v>
      </c>
      <c r="I23" s="24"/>
      <c r="J23" s="66">
        <v>337066</v>
      </c>
      <c r="K23" s="24">
        <v>712</v>
      </c>
      <c r="L23" s="66">
        <v>10000</v>
      </c>
      <c r="M23" s="24" t="s">
        <v>71</v>
      </c>
      <c r="N23" s="24" t="s">
        <v>71</v>
      </c>
      <c r="O23" s="66">
        <v>24139</v>
      </c>
      <c r="P23" s="66">
        <v>371917</v>
      </c>
      <c r="Q23" s="66">
        <v>144277</v>
      </c>
      <c r="R23" s="66">
        <v>6812</v>
      </c>
      <c r="S23" s="66">
        <v>2485305</v>
      </c>
    </row>
    <row r="24" spans="1:19" x14ac:dyDescent="0.3">
      <c r="A24" s="58">
        <v>44835</v>
      </c>
      <c r="B24" s="4"/>
      <c r="C24" s="66">
        <v>709250</v>
      </c>
      <c r="D24" s="66">
        <v>187379</v>
      </c>
      <c r="E24" s="66">
        <v>436614</v>
      </c>
      <c r="F24" s="66">
        <v>903285</v>
      </c>
      <c r="G24" s="66">
        <v>67228</v>
      </c>
      <c r="H24" s="66">
        <v>2303756</v>
      </c>
      <c r="I24" s="24"/>
      <c r="J24" s="66">
        <v>362351</v>
      </c>
      <c r="K24" s="24">
        <v>802</v>
      </c>
      <c r="L24" s="66">
        <v>11325</v>
      </c>
      <c r="M24" s="66">
        <v>5960</v>
      </c>
      <c r="N24" s="66">
        <v>1196</v>
      </c>
      <c r="O24" s="24" t="s">
        <v>71</v>
      </c>
      <c r="P24" s="66">
        <v>381634</v>
      </c>
      <c r="Q24" s="66">
        <v>206744</v>
      </c>
      <c r="R24" s="66">
        <v>5503</v>
      </c>
      <c r="S24" s="66">
        <v>2897637</v>
      </c>
    </row>
    <row r="25" spans="1:19" x14ac:dyDescent="0.3">
      <c r="A25" s="58">
        <v>44866</v>
      </c>
      <c r="B25" s="4"/>
      <c r="C25" s="66">
        <v>821514</v>
      </c>
      <c r="D25" s="66">
        <v>235375</v>
      </c>
      <c r="E25" s="66">
        <v>439249</v>
      </c>
      <c r="F25" s="66">
        <v>437272</v>
      </c>
      <c r="G25" s="66">
        <v>110022</v>
      </c>
      <c r="H25" s="66">
        <v>2043432</v>
      </c>
      <c r="I25" s="24"/>
      <c r="J25" s="66">
        <v>359009</v>
      </c>
      <c r="K25" s="66">
        <v>8260</v>
      </c>
      <c r="L25" s="66">
        <v>75935</v>
      </c>
      <c r="M25" s="66">
        <v>3000</v>
      </c>
      <c r="N25" s="66">
        <v>1000</v>
      </c>
      <c r="O25" s="24"/>
      <c r="P25" s="66">
        <v>447204</v>
      </c>
      <c r="Q25" s="66">
        <v>174326</v>
      </c>
      <c r="R25" s="66">
        <v>8639</v>
      </c>
      <c r="S25" s="66">
        <v>2673601</v>
      </c>
    </row>
    <row r="26" spans="1:19" x14ac:dyDescent="0.3">
      <c r="A26" s="58">
        <v>44896</v>
      </c>
      <c r="B26" s="4"/>
      <c r="C26" s="66"/>
      <c r="D26" s="66"/>
      <c r="E26" s="66"/>
      <c r="F26" s="66"/>
      <c r="G26" s="66"/>
      <c r="H26" s="66"/>
      <c r="I26" s="24"/>
      <c r="J26" s="66"/>
      <c r="K26" s="66"/>
      <c r="L26" s="66"/>
      <c r="M26" s="66"/>
      <c r="N26" s="66"/>
      <c r="O26" s="24"/>
      <c r="P26" s="66"/>
      <c r="Q26" s="66"/>
      <c r="R26" s="66"/>
      <c r="S26" s="66"/>
    </row>
    <row r="27" spans="1:19" x14ac:dyDescent="0.3">
      <c r="A27" s="58">
        <v>44927</v>
      </c>
      <c r="B27" s="4" t="s">
        <v>103</v>
      </c>
      <c r="C27" s="66">
        <v>828200</v>
      </c>
      <c r="D27" s="66">
        <v>154728</v>
      </c>
      <c r="E27" s="66">
        <v>572702</v>
      </c>
      <c r="F27" s="66">
        <v>727027</v>
      </c>
      <c r="G27" s="66">
        <v>84186</v>
      </c>
      <c r="H27" s="66">
        <v>2366843</v>
      </c>
      <c r="I27" s="24"/>
      <c r="J27" s="66">
        <v>344512</v>
      </c>
      <c r="K27" s="24">
        <v>435</v>
      </c>
      <c r="L27" s="66">
        <v>31580</v>
      </c>
      <c r="M27" s="24" t="s">
        <v>71</v>
      </c>
      <c r="N27" s="24" t="s">
        <v>71</v>
      </c>
      <c r="O27" s="24" t="s">
        <v>71</v>
      </c>
      <c r="P27" s="66">
        <v>376527</v>
      </c>
      <c r="Q27" s="66">
        <v>173590</v>
      </c>
      <c r="R27" s="66">
        <v>6342</v>
      </c>
      <c r="S27" s="66">
        <v>2923302</v>
      </c>
    </row>
    <row r="28" spans="1:19" x14ac:dyDescent="0.3">
      <c r="A28" s="58">
        <v>44958</v>
      </c>
      <c r="B28" s="4"/>
      <c r="C28" s="66">
        <v>750754</v>
      </c>
      <c r="D28" s="66">
        <v>162166</v>
      </c>
      <c r="E28" s="66">
        <v>401838</v>
      </c>
      <c r="F28" s="66">
        <v>686641</v>
      </c>
      <c r="G28" s="66">
        <v>103355</v>
      </c>
      <c r="H28" s="66">
        <v>2104754</v>
      </c>
      <c r="I28" s="24"/>
      <c r="J28" s="66">
        <v>328181</v>
      </c>
      <c r="K28" s="66">
        <v>2109</v>
      </c>
      <c r="L28" s="66">
        <v>12120</v>
      </c>
      <c r="M28" s="24" t="s">
        <v>71</v>
      </c>
      <c r="N28" s="24">
        <v>502</v>
      </c>
      <c r="O28" s="24" t="s">
        <v>71</v>
      </c>
      <c r="P28" s="66">
        <v>342912</v>
      </c>
      <c r="Q28" s="66">
        <v>189838</v>
      </c>
      <c r="R28" s="66">
        <v>12668</v>
      </c>
      <c r="S28" s="66">
        <v>2650172</v>
      </c>
    </row>
    <row r="29" spans="1:19" x14ac:dyDescent="0.3">
      <c r="A29" s="58">
        <v>44986</v>
      </c>
      <c r="B29" s="65"/>
      <c r="C29" s="66">
        <v>848690</v>
      </c>
      <c r="D29" s="66">
        <v>220307</v>
      </c>
      <c r="E29" s="66">
        <v>461954</v>
      </c>
      <c r="F29" s="66">
        <v>928200</v>
      </c>
      <c r="G29" s="66">
        <v>53572</v>
      </c>
      <c r="H29" s="66">
        <v>2512723</v>
      </c>
      <c r="I29" s="24"/>
      <c r="J29" s="66">
        <v>405294</v>
      </c>
      <c r="K29" s="66">
        <v>2792</v>
      </c>
      <c r="L29" s="66">
        <v>70140</v>
      </c>
      <c r="M29" s="24" t="s">
        <v>71</v>
      </c>
      <c r="N29" s="24" t="s">
        <v>71</v>
      </c>
      <c r="O29" s="66">
        <v>3358</v>
      </c>
      <c r="P29" s="66">
        <v>481584</v>
      </c>
      <c r="Q29" s="66">
        <v>212074</v>
      </c>
      <c r="R29" s="66">
        <v>12074</v>
      </c>
      <c r="S29" s="66">
        <v>3218455</v>
      </c>
    </row>
    <row r="30" spans="1:19" x14ac:dyDescent="0.3">
      <c r="A30" s="58">
        <v>45017</v>
      </c>
      <c r="B30" s="65"/>
      <c r="C30" s="66">
        <v>974615</v>
      </c>
      <c r="D30" s="66">
        <v>133828</v>
      </c>
      <c r="E30" s="66">
        <v>768750</v>
      </c>
      <c r="F30" s="66">
        <v>577803</v>
      </c>
      <c r="G30" s="66">
        <v>71740</v>
      </c>
      <c r="H30" s="66">
        <v>2526736</v>
      </c>
      <c r="I30" s="24"/>
      <c r="J30" s="66">
        <v>383980</v>
      </c>
      <c r="K30" s="66">
        <v>16737</v>
      </c>
      <c r="L30" s="66">
        <v>5347</v>
      </c>
      <c r="M30" s="24" t="s">
        <v>71</v>
      </c>
      <c r="N30" s="24">
        <v>913</v>
      </c>
      <c r="O30" s="66">
        <v>3099</v>
      </c>
      <c r="P30" s="66">
        <v>410076</v>
      </c>
      <c r="Q30" s="66">
        <v>179646</v>
      </c>
      <c r="R30" s="66">
        <v>8308</v>
      </c>
      <c r="S30" s="66">
        <v>3124766</v>
      </c>
    </row>
    <row r="31" spans="1:19" x14ac:dyDescent="0.3">
      <c r="A31" s="58">
        <v>45047</v>
      </c>
      <c r="B31" s="65"/>
      <c r="C31" s="66">
        <v>1093220</v>
      </c>
      <c r="D31" s="66">
        <v>186581</v>
      </c>
      <c r="E31" s="66">
        <v>505278</v>
      </c>
      <c r="F31" s="66">
        <v>701926</v>
      </c>
      <c r="G31" s="66">
        <v>116805</v>
      </c>
      <c r="H31" s="66">
        <v>2603810</v>
      </c>
      <c r="I31" s="24"/>
      <c r="J31" s="66">
        <v>437183</v>
      </c>
      <c r="K31" s="66">
        <v>4571</v>
      </c>
      <c r="L31" s="66">
        <v>11710</v>
      </c>
      <c r="M31" s="24" t="s">
        <v>71</v>
      </c>
      <c r="N31" s="24" t="s">
        <v>71</v>
      </c>
      <c r="O31" s="66">
        <v>2500</v>
      </c>
      <c r="P31" s="66">
        <v>455964</v>
      </c>
      <c r="Q31" s="66">
        <v>207992</v>
      </c>
      <c r="R31" s="66">
        <v>9302</v>
      </c>
      <c r="S31" s="66">
        <v>3277068</v>
      </c>
    </row>
    <row r="32" spans="1:19" x14ac:dyDescent="0.3">
      <c r="A32" s="58">
        <v>45078</v>
      </c>
      <c r="B32" s="65"/>
      <c r="C32" s="66">
        <v>898282</v>
      </c>
      <c r="D32" s="66">
        <v>224504</v>
      </c>
      <c r="E32" s="66">
        <v>521052</v>
      </c>
      <c r="F32" s="66">
        <v>584531</v>
      </c>
      <c r="G32" s="66">
        <v>59064</v>
      </c>
      <c r="H32" s="66">
        <v>2287433</v>
      </c>
      <c r="I32" s="24"/>
      <c r="J32" s="66">
        <v>403547</v>
      </c>
      <c r="K32" s="66">
        <v>4998</v>
      </c>
      <c r="L32" s="66">
        <v>56010</v>
      </c>
      <c r="M32" s="24" t="s">
        <v>71</v>
      </c>
      <c r="N32" s="24" t="s">
        <v>71</v>
      </c>
      <c r="O32" s="24" t="s">
        <v>71</v>
      </c>
      <c r="P32" s="66">
        <v>464555</v>
      </c>
      <c r="Q32" s="66">
        <v>110327</v>
      </c>
      <c r="R32" s="66">
        <v>7028</v>
      </c>
      <c r="S32" s="66">
        <v>2869343</v>
      </c>
    </row>
    <row r="33" spans="1:19" x14ac:dyDescent="0.3">
      <c r="A33" s="58">
        <v>45108</v>
      </c>
      <c r="B33" s="65"/>
      <c r="C33" s="66">
        <v>947164</v>
      </c>
      <c r="D33" s="66">
        <v>126704</v>
      </c>
      <c r="E33" s="66">
        <v>469023</v>
      </c>
      <c r="F33" s="66">
        <v>574519</v>
      </c>
      <c r="G33" s="66">
        <v>72315</v>
      </c>
      <c r="H33" s="66">
        <v>2189725</v>
      </c>
      <c r="I33" s="24"/>
      <c r="J33" s="66">
        <v>433412</v>
      </c>
      <c r="K33" s="66">
        <v>5341</v>
      </c>
      <c r="L33" s="66">
        <v>25130</v>
      </c>
      <c r="M33" s="24" t="s">
        <v>71</v>
      </c>
      <c r="N33" s="24">
        <v>408</v>
      </c>
      <c r="O33" s="24" t="s">
        <v>71</v>
      </c>
      <c r="P33" s="66">
        <v>464291</v>
      </c>
      <c r="Q33" s="66">
        <v>131168</v>
      </c>
      <c r="R33" s="66">
        <v>11352</v>
      </c>
      <c r="S33" s="66">
        <v>2796536</v>
      </c>
    </row>
    <row r="34" spans="1:19" x14ac:dyDescent="0.3">
      <c r="A34" s="58">
        <v>45139</v>
      </c>
      <c r="B34" s="65"/>
      <c r="C34" s="66">
        <v>926374</v>
      </c>
      <c r="D34" s="66">
        <v>138810</v>
      </c>
      <c r="E34" s="66">
        <v>360574</v>
      </c>
      <c r="F34" s="66">
        <v>860358</v>
      </c>
      <c r="G34" s="66">
        <v>77160</v>
      </c>
      <c r="H34" s="66">
        <v>2363276</v>
      </c>
      <c r="I34" s="24"/>
      <c r="J34" s="66">
        <v>417012</v>
      </c>
      <c r="K34" s="24">
        <v>618</v>
      </c>
      <c r="L34" s="66">
        <v>2610</v>
      </c>
      <c r="M34" s="24" t="s">
        <v>71</v>
      </c>
      <c r="N34" s="66">
        <v>1087</v>
      </c>
      <c r="O34" s="24" t="s">
        <v>71</v>
      </c>
      <c r="P34" s="66">
        <v>421327</v>
      </c>
      <c r="Q34" s="66">
        <v>159885</v>
      </c>
      <c r="R34" s="66">
        <v>10875</v>
      </c>
      <c r="S34" s="66">
        <v>2955363</v>
      </c>
    </row>
    <row r="35" spans="1:19" x14ac:dyDescent="0.3">
      <c r="A35" s="58">
        <v>45170</v>
      </c>
      <c r="B35" s="65"/>
      <c r="C35" s="66">
        <v>913963</v>
      </c>
      <c r="D35" s="66">
        <v>106345</v>
      </c>
      <c r="E35" s="66">
        <v>677603</v>
      </c>
      <c r="F35" s="66">
        <v>446972</v>
      </c>
      <c r="G35" s="66">
        <v>89561</v>
      </c>
      <c r="H35" s="66">
        <v>2234444</v>
      </c>
      <c r="I35" s="24"/>
      <c r="J35" s="66">
        <v>373736</v>
      </c>
      <c r="K35" s="66">
        <v>4734</v>
      </c>
      <c r="L35" s="66">
        <v>1520</v>
      </c>
      <c r="M35" s="24" t="s">
        <v>71</v>
      </c>
      <c r="N35" s="24" t="s">
        <v>71</v>
      </c>
      <c r="O35" s="24" t="s">
        <v>71</v>
      </c>
      <c r="P35" s="66">
        <v>379990</v>
      </c>
      <c r="Q35" s="66">
        <v>139326</v>
      </c>
      <c r="R35" s="66">
        <v>8749</v>
      </c>
      <c r="S35" s="66">
        <v>2762509</v>
      </c>
    </row>
    <row r="36" spans="1:19" x14ac:dyDescent="0.3">
      <c r="A36" s="58">
        <v>45200</v>
      </c>
      <c r="B36" s="65"/>
      <c r="C36" s="66">
        <v>913087</v>
      </c>
      <c r="D36" s="66">
        <v>101254</v>
      </c>
      <c r="E36" s="66">
        <v>607227</v>
      </c>
      <c r="F36" s="66">
        <v>734552</v>
      </c>
      <c r="G36" s="66">
        <v>64820</v>
      </c>
      <c r="H36" s="66">
        <v>2420940</v>
      </c>
      <c r="I36" s="24"/>
      <c r="J36" s="66">
        <v>374142</v>
      </c>
      <c r="K36" s="66">
        <v>3138</v>
      </c>
      <c r="L36" s="24">
        <v>730</v>
      </c>
      <c r="M36" s="24" t="s">
        <v>71</v>
      </c>
      <c r="N36" s="66">
        <v>1307</v>
      </c>
      <c r="O36" s="24" t="s">
        <v>71</v>
      </c>
      <c r="P36" s="66">
        <v>379317</v>
      </c>
      <c r="Q36" s="66">
        <v>169912</v>
      </c>
      <c r="R36" s="66">
        <v>8978</v>
      </c>
      <c r="S36" s="66">
        <v>2979147</v>
      </c>
    </row>
    <row r="37" spans="1:19" x14ac:dyDescent="0.3">
      <c r="A37" s="58">
        <v>45231</v>
      </c>
      <c r="B37" s="65"/>
      <c r="C37" s="66">
        <v>903808</v>
      </c>
      <c r="D37" s="66">
        <v>115643</v>
      </c>
      <c r="E37" s="66">
        <v>721453</v>
      </c>
      <c r="F37" s="66">
        <v>734708</v>
      </c>
      <c r="G37" s="66">
        <v>58153</v>
      </c>
      <c r="H37" s="66">
        <v>2533765</v>
      </c>
      <c r="I37" s="24"/>
      <c r="J37" s="66">
        <v>355099</v>
      </c>
      <c r="K37" s="66">
        <v>1217</v>
      </c>
      <c r="L37" s="66">
        <v>11000</v>
      </c>
      <c r="M37" s="24" t="s">
        <v>71</v>
      </c>
      <c r="N37" s="24">
        <v>498</v>
      </c>
      <c r="O37" s="24" t="s">
        <v>71</v>
      </c>
      <c r="P37" s="66">
        <v>367814</v>
      </c>
      <c r="Q37" s="66">
        <v>369158</v>
      </c>
      <c r="R37" s="66">
        <v>15985</v>
      </c>
      <c r="S37" s="66">
        <v>3286722</v>
      </c>
    </row>
    <row r="38" spans="1:19" x14ac:dyDescent="0.3">
      <c r="A38" s="58">
        <v>45261</v>
      </c>
      <c r="B38" s="65"/>
      <c r="C38" s="66">
        <v>938933</v>
      </c>
      <c r="D38" s="66">
        <v>163688</v>
      </c>
      <c r="E38" s="66">
        <v>457791</v>
      </c>
      <c r="F38" s="66">
        <v>580342</v>
      </c>
      <c r="G38" s="66">
        <v>50670</v>
      </c>
      <c r="H38" s="66">
        <v>2191424</v>
      </c>
      <c r="I38" s="24"/>
      <c r="J38" s="66">
        <v>350236</v>
      </c>
      <c r="K38" s="66">
        <v>1089</v>
      </c>
      <c r="L38" s="66">
        <v>52350</v>
      </c>
      <c r="M38" s="24" t="s">
        <v>71</v>
      </c>
      <c r="N38" s="24" t="s">
        <v>71</v>
      </c>
      <c r="O38" s="24" t="s">
        <v>71</v>
      </c>
      <c r="P38" s="66">
        <v>403675</v>
      </c>
      <c r="Q38" s="66">
        <v>392060</v>
      </c>
      <c r="R38" s="66">
        <v>13169</v>
      </c>
      <c r="S38" s="66">
        <v>3000328</v>
      </c>
    </row>
    <row r="39" spans="1:19" x14ac:dyDescent="0.3">
      <c r="A39" s="58">
        <v>45292</v>
      </c>
      <c r="C39" s="66">
        <v>859745</v>
      </c>
      <c r="D39" s="66">
        <v>116387</v>
      </c>
      <c r="E39" s="66">
        <v>614896</v>
      </c>
      <c r="F39" s="66">
        <v>717460</v>
      </c>
      <c r="G39" s="66">
        <v>76464</v>
      </c>
      <c r="H39" s="66">
        <v>2384952</v>
      </c>
      <c r="I39" s="66"/>
      <c r="J39" s="66">
        <v>330123</v>
      </c>
      <c r="K39" s="66">
        <v>4625</v>
      </c>
      <c r="L39" s="66">
        <v>10250</v>
      </c>
      <c r="M39" s="66"/>
      <c r="N39" s="66"/>
      <c r="O39" s="66"/>
      <c r="P39" s="66">
        <v>344998</v>
      </c>
      <c r="Q39" s="66">
        <v>576215</v>
      </c>
      <c r="R39" s="66">
        <v>35564</v>
      </c>
      <c r="S39" s="66">
        <v>3286722</v>
      </c>
    </row>
    <row r="40" spans="1:19" x14ac:dyDescent="0.3">
      <c r="A40" s="58">
        <v>45323</v>
      </c>
      <c r="C40" s="66">
        <v>778341</v>
      </c>
      <c r="D40" s="66">
        <v>158664</v>
      </c>
      <c r="E40" s="66">
        <v>284821</v>
      </c>
      <c r="F40" s="66">
        <v>529661</v>
      </c>
      <c r="G40" s="66">
        <v>126124</v>
      </c>
      <c r="H40" s="66">
        <v>1877611</v>
      </c>
      <c r="I40" s="66"/>
      <c r="J40" s="66">
        <v>352427</v>
      </c>
      <c r="K40" s="66">
        <v>10010</v>
      </c>
      <c r="L40" s="66">
        <v>9000</v>
      </c>
      <c r="M40" s="66"/>
      <c r="N40" s="66"/>
      <c r="O40" s="66"/>
      <c r="P40" s="66">
        <v>371437</v>
      </c>
      <c r="Q40" s="66">
        <v>457251</v>
      </c>
      <c r="R40" s="66">
        <v>35650</v>
      </c>
      <c r="S40" s="66">
        <v>2741949</v>
      </c>
    </row>
    <row r="41" spans="1:19" x14ac:dyDescent="0.3">
      <c r="A41" s="58">
        <v>45352</v>
      </c>
      <c r="C41" s="66">
        <v>1120269</v>
      </c>
      <c r="D41" s="66">
        <v>107500</v>
      </c>
      <c r="E41" s="66">
        <v>526545</v>
      </c>
      <c r="F41" s="66">
        <v>587025</v>
      </c>
      <c r="G41" s="66">
        <v>34453</v>
      </c>
      <c r="H41" s="66">
        <v>2375792</v>
      </c>
      <c r="I41" s="66"/>
      <c r="J41" s="66">
        <v>471805</v>
      </c>
      <c r="K41" s="66">
        <v>2421</v>
      </c>
      <c r="L41" s="66">
        <v>20000</v>
      </c>
      <c r="M41" s="66"/>
      <c r="N41" s="66"/>
      <c r="O41" s="66"/>
      <c r="P41" s="66">
        <v>494226</v>
      </c>
      <c r="Q41" s="66">
        <v>457688</v>
      </c>
      <c r="R41" s="66">
        <v>8538</v>
      </c>
      <c r="S41" s="66">
        <v>3336244</v>
      </c>
    </row>
    <row r="42" spans="1:19" x14ac:dyDescent="0.3">
      <c r="A42" s="58">
        <v>45383</v>
      </c>
      <c r="C42" s="66">
        <v>892064</v>
      </c>
      <c r="D42" s="66">
        <v>109939</v>
      </c>
      <c r="E42" s="66">
        <v>712716</v>
      </c>
      <c r="F42" s="66">
        <v>934506</v>
      </c>
      <c r="G42" s="66">
        <v>56926</v>
      </c>
      <c r="H42" s="66">
        <v>2706151</v>
      </c>
      <c r="I42" s="66"/>
      <c r="J42" s="66">
        <v>343585</v>
      </c>
      <c r="K42" s="66">
        <v>1667</v>
      </c>
      <c r="L42" s="66">
        <v>15000</v>
      </c>
      <c r="M42" s="66"/>
      <c r="N42" s="66"/>
      <c r="O42" s="66"/>
      <c r="P42" s="66">
        <v>360252</v>
      </c>
      <c r="Q42" s="66">
        <v>366849</v>
      </c>
      <c r="R42" s="66">
        <v>9442</v>
      </c>
      <c r="S42" s="66">
        <v>3442694</v>
      </c>
    </row>
    <row r="43" spans="1:19" x14ac:dyDescent="0.3">
      <c r="A43" s="58">
        <v>45413</v>
      </c>
      <c r="C43" s="66">
        <v>994504</v>
      </c>
      <c r="D43" s="66">
        <v>90749</v>
      </c>
      <c r="E43" s="66">
        <v>733260</v>
      </c>
      <c r="F43" s="66">
        <v>790014</v>
      </c>
      <c r="G43" s="66">
        <v>43228</v>
      </c>
      <c r="H43" s="66">
        <v>2651755</v>
      </c>
      <c r="I43" s="66"/>
      <c r="J43" s="66">
        <v>421693</v>
      </c>
      <c r="K43" s="66">
        <v>999</v>
      </c>
      <c r="L43" s="66">
        <v>399</v>
      </c>
      <c r="M43" s="66"/>
      <c r="N43" s="66">
        <v>785</v>
      </c>
      <c r="O43" s="66"/>
      <c r="P43" s="66">
        <v>423876</v>
      </c>
      <c r="Q43" s="66">
        <v>468793</v>
      </c>
      <c r="R43" s="66">
        <v>19290</v>
      </c>
      <c r="S43" s="66">
        <v>3563714</v>
      </c>
    </row>
    <row r="44" spans="1:19" x14ac:dyDescent="0.3">
      <c r="A44" s="58">
        <v>45444</v>
      </c>
      <c r="C44" s="66">
        <v>805711</v>
      </c>
      <c r="D44" s="66">
        <v>217147</v>
      </c>
      <c r="E44" s="66">
        <v>627939</v>
      </c>
      <c r="F44" s="66">
        <v>778666</v>
      </c>
      <c r="G44" s="66">
        <v>55068</v>
      </c>
      <c r="H44" s="66">
        <v>2484531</v>
      </c>
      <c r="I44" s="66"/>
      <c r="J44" s="66">
        <v>348927</v>
      </c>
      <c r="K44" s="66">
        <v>11155</v>
      </c>
      <c r="L44" s="66">
        <v>54000</v>
      </c>
      <c r="M44" s="66"/>
      <c r="N44" s="66">
        <v>1063</v>
      </c>
      <c r="O44" s="66"/>
      <c r="P44" s="66">
        <v>415145</v>
      </c>
      <c r="Q44" s="66">
        <v>454318</v>
      </c>
      <c r="R44" s="66">
        <v>10289</v>
      </c>
      <c r="S44" s="66">
        <v>3364283</v>
      </c>
    </row>
    <row r="45" spans="1:19" x14ac:dyDescent="0.3">
      <c r="A45" s="58">
        <v>45474</v>
      </c>
      <c r="C45" s="66">
        <v>964797</v>
      </c>
      <c r="D45" s="66">
        <v>200563</v>
      </c>
      <c r="E45" s="66">
        <v>316895</v>
      </c>
      <c r="F45" s="66">
        <v>778416</v>
      </c>
      <c r="G45" s="66">
        <v>59334</v>
      </c>
      <c r="H45" s="66">
        <v>2320005</v>
      </c>
      <c r="I45" s="66"/>
      <c r="J45" s="66">
        <v>494885</v>
      </c>
      <c r="K45" s="66">
        <v>5119</v>
      </c>
      <c r="L45" s="66">
        <v>3729</v>
      </c>
      <c r="M45" s="66"/>
      <c r="N45" s="66">
        <v>423</v>
      </c>
      <c r="O45" s="66"/>
      <c r="P45" s="66">
        <v>504156</v>
      </c>
      <c r="Q45" s="66">
        <v>460211</v>
      </c>
      <c r="R45" s="66">
        <v>10361</v>
      </c>
      <c r="S45" s="66">
        <v>3294733</v>
      </c>
    </row>
    <row r="46" spans="1:19" x14ac:dyDescent="0.3">
      <c r="A46" s="58">
        <v>45505</v>
      </c>
      <c r="C46" s="66">
        <v>860074</v>
      </c>
      <c r="D46" s="66">
        <v>151865</v>
      </c>
      <c r="E46" s="66">
        <v>651897</v>
      </c>
      <c r="F46" s="66">
        <v>937813</v>
      </c>
      <c r="G46" s="66">
        <v>75658</v>
      </c>
      <c r="H46" s="66">
        <v>2677307</v>
      </c>
      <c r="I46" s="66"/>
      <c r="J46" s="66">
        <v>405462</v>
      </c>
      <c r="K46" s="66">
        <v>1014</v>
      </c>
      <c r="L46" s="66"/>
      <c r="M46" s="66"/>
      <c r="N46" s="66">
        <v>645</v>
      </c>
      <c r="O46" s="66">
        <v>3702</v>
      </c>
      <c r="P46" s="66">
        <v>410823</v>
      </c>
      <c r="Q46" s="66">
        <v>380233</v>
      </c>
      <c r="R46" s="66">
        <v>8835</v>
      </c>
      <c r="S46" s="66">
        <v>3477198</v>
      </c>
    </row>
    <row r="47" spans="1:19" x14ac:dyDescent="0.3">
      <c r="A47" s="58">
        <v>45536</v>
      </c>
      <c r="C47" s="66">
        <v>938799</v>
      </c>
      <c r="D47" s="66">
        <v>199193</v>
      </c>
      <c r="E47" s="66">
        <v>547853</v>
      </c>
      <c r="F47" s="66">
        <v>733104</v>
      </c>
      <c r="G47" s="66">
        <v>95499</v>
      </c>
      <c r="H47" s="66">
        <v>2514448</v>
      </c>
      <c r="I47" s="66"/>
      <c r="J47" s="66">
        <v>401839</v>
      </c>
      <c r="K47" s="66">
        <v>6929</v>
      </c>
      <c r="L47" s="66"/>
      <c r="M47" s="66"/>
      <c r="N47" s="66">
        <v>1238</v>
      </c>
      <c r="O47" s="66"/>
      <c r="P47" s="66">
        <v>410006</v>
      </c>
      <c r="Q47" s="66">
        <v>493626</v>
      </c>
      <c r="R47" s="66">
        <v>14427</v>
      </c>
      <c r="S47" s="66">
        <v>3432507</v>
      </c>
    </row>
    <row r="48" spans="1:19" x14ac:dyDescent="0.3">
      <c r="A48" s="58">
        <v>45566</v>
      </c>
      <c r="C48" s="66">
        <v>928816</v>
      </c>
      <c r="D48" s="66">
        <v>200181</v>
      </c>
      <c r="E48" s="66">
        <v>725740</v>
      </c>
      <c r="F48" s="66">
        <v>881101</v>
      </c>
      <c r="G48" s="66">
        <v>42792</v>
      </c>
      <c r="H48" s="66">
        <v>2778629</v>
      </c>
      <c r="I48" s="66"/>
      <c r="J48" s="66">
        <v>385477</v>
      </c>
      <c r="K48" s="66">
        <v>6774</v>
      </c>
      <c r="L48" s="66">
        <v>5000</v>
      </c>
      <c r="M48" s="66"/>
      <c r="N48" s="66">
        <v>916</v>
      </c>
      <c r="O48" s="66"/>
      <c r="P48" s="66">
        <v>398167</v>
      </c>
      <c r="Q48" s="66">
        <v>567431</v>
      </c>
      <c r="R48" s="66">
        <v>11149</v>
      </c>
      <c r="S48" s="66">
        <v>3755377</v>
      </c>
    </row>
    <row r="49" spans="1:19" x14ac:dyDescent="0.3">
      <c r="A49" s="58">
        <v>45597</v>
      </c>
      <c r="C49" s="66">
        <v>995097</v>
      </c>
      <c r="D49" s="66">
        <v>170655</v>
      </c>
      <c r="E49" s="66">
        <v>682724</v>
      </c>
      <c r="F49" s="66">
        <v>450646</v>
      </c>
      <c r="G49" s="66">
        <v>179170</v>
      </c>
      <c r="H49" s="66">
        <v>2478292</v>
      </c>
      <c r="I49" s="66"/>
      <c r="J49" s="66">
        <v>363867</v>
      </c>
      <c r="K49" s="66">
        <v>4529</v>
      </c>
      <c r="L49" s="66">
        <v>10000</v>
      </c>
      <c r="M49" s="66"/>
      <c r="N49" s="66">
        <v>1242</v>
      </c>
      <c r="O49" s="66"/>
      <c r="P49" s="66">
        <v>379638</v>
      </c>
      <c r="Q49" s="66">
        <v>591766</v>
      </c>
      <c r="R49" s="66">
        <v>12427</v>
      </c>
      <c r="S49" s="66">
        <v>3462123</v>
      </c>
    </row>
    <row r="50" spans="1:19" x14ac:dyDescent="0.3">
      <c r="A50" s="58">
        <v>45627</v>
      </c>
      <c r="C50" s="66">
        <v>1079076</v>
      </c>
      <c r="D50" s="66">
        <v>345174</v>
      </c>
      <c r="E50" s="66">
        <v>483075</v>
      </c>
      <c r="F50" s="66">
        <v>790244</v>
      </c>
      <c r="G50" s="66">
        <v>68570</v>
      </c>
      <c r="H50" s="66">
        <v>2766138</v>
      </c>
      <c r="I50" s="66"/>
      <c r="J50" s="66">
        <v>389497</v>
      </c>
      <c r="K50" s="66">
        <v>10176</v>
      </c>
      <c r="L50" s="66">
        <v>48000</v>
      </c>
      <c r="M50" s="66"/>
      <c r="N50" s="66">
        <v>494</v>
      </c>
      <c r="O50" s="66"/>
      <c r="P50" s="66">
        <v>448167</v>
      </c>
      <c r="Q50" s="66">
        <v>573712</v>
      </c>
      <c r="R50" s="66">
        <v>11976</v>
      </c>
      <c r="S50" s="66">
        <v>3799993</v>
      </c>
    </row>
    <row r="51" spans="1:19" x14ac:dyDescent="0.3">
      <c r="A51" s="58">
        <v>45658</v>
      </c>
      <c r="C51" s="66">
        <v>978199</v>
      </c>
      <c r="D51" s="66">
        <v>189846</v>
      </c>
      <c r="E51" s="66">
        <v>551187</v>
      </c>
      <c r="F51" s="66">
        <v>826636</v>
      </c>
      <c r="G51" s="66">
        <v>86286</v>
      </c>
      <c r="H51" s="66">
        <v>2632154</v>
      </c>
      <c r="I51" s="66"/>
      <c r="J51" s="66">
        <v>365199</v>
      </c>
      <c r="K51" s="66">
        <v>4406</v>
      </c>
      <c r="L51" s="66">
        <v>12500</v>
      </c>
      <c r="M51" s="66"/>
      <c r="N51" s="66">
        <v>997</v>
      </c>
      <c r="O51" s="66"/>
      <c r="P51" s="66">
        <v>383102</v>
      </c>
      <c r="Q51" s="66">
        <v>472227</v>
      </c>
      <c r="R51" s="66">
        <v>13772</v>
      </c>
      <c r="S51" s="66">
        <v>3501255</v>
      </c>
    </row>
    <row r="52" spans="1:19" x14ac:dyDescent="0.3">
      <c r="A52" s="58">
        <v>45689</v>
      </c>
      <c r="C52" s="66">
        <v>925387</v>
      </c>
      <c r="D52" s="66">
        <v>218672</v>
      </c>
      <c r="E52" s="66">
        <v>794506</v>
      </c>
      <c r="F52" s="66">
        <v>709276</v>
      </c>
      <c r="G52" s="66">
        <v>54215</v>
      </c>
      <c r="H52" s="66">
        <v>2702056</v>
      </c>
      <c r="I52" s="66"/>
      <c r="J52" s="66">
        <v>409886</v>
      </c>
      <c r="K52" s="66">
        <v>4303</v>
      </c>
      <c r="L52" s="66">
        <v>3730</v>
      </c>
      <c r="M52" s="66"/>
      <c r="N52" s="66">
        <v>498</v>
      </c>
      <c r="O52" s="66"/>
      <c r="P52" s="66">
        <v>418417</v>
      </c>
      <c r="Q52" s="66">
        <v>356596</v>
      </c>
      <c r="R52" s="66">
        <v>5707</v>
      </c>
      <c r="S52" s="66">
        <v>3482776</v>
      </c>
    </row>
    <row r="53" spans="1:19" x14ac:dyDescent="0.3">
      <c r="A53" s="58">
        <v>45717</v>
      </c>
      <c r="C53" s="66">
        <v>993027</v>
      </c>
      <c r="D53" s="66">
        <v>120747</v>
      </c>
      <c r="E53" s="66">
        <v>821366</v>
      </c>
      <c r="F53" s="66">
        <v>781811</v>
      </c>
      <c r="G53" s="66">
        <v>87176</v>
      </c>
      <c r="H53" s="66">
        <v>2804127</v>
      </c>
      <c r="I53" s="66"/>
      <c r="J53" s="66">
        <v>465741</v>
      </c>
      <c r="K53" s="66">
        <v>6271</v>
      </c>
      <c r="L53" s="66"/>
      <c r="M53" s="66"/>
      <c r="N53" s="66">
        <v>995</v>
      </c>
      <c r="O53" s="66"/>
      <c r="P53" s="66">
        <v>473007</v>
      </c>
      <c r="Q53" s="66">
        <v>335566</v>
      </c>
      <c r="R53" s="66">
        <v>12820</v>
      </c>
      <c r="S53" s="66">
        <v>3625520</v>
      </c>
    </row>
    <row r="54" spans="1:19" x14ac:dyDescent="0.3">
      <c r="A54" s="58">
        <v>45748</v>
      </c>
      <c r="C54" s="66">
        <v>994051</v>
      </c>
      <c r="D54" s="66">
        <v>234678</v>
      </c>
      <c r="E54" s="66">
        <v>362666</v>
      </c>
      <c r="F54" s="66">
        <v>756304</v>
      </c>
      <c r="G54" s="66">
        <v>162700</v>
      </c>
      <c r="H54" s="66">
        <v>2703197</v>
      </c>
      <c r="I54" s="66"/>
      <c r="J54" s="66">
        <v>376830</v>
      </c>
      <c r="K54" s="66">
        <v>2756</v>
      </c>
      <c r="L54" s="66" t="s">
        <v>71</v>
      </c>
      <c r="M54" s="66" t="s">
        <v>71</v>
      </c>
      <c r="N54" s="66" t="s">
        <v>71</v>
      </c>
      <c r="O54" s="66" t="s">
        <v>71</v>
      </c>
      <c r="P54" s="66">
        <v>379586</v>
      </c>
      <c r="Q54" s="66">
        <v>303792</v>
      </c>
      <c r="R54" s="66">
        <v>11326</v>
      </c>
      <c r="S54" s="66">
        <v>3397901</v>
      </c>
    </row>
    <row r="55" spans="1:19" x14ac:dyDescent="0.3">
      <c r="A55" s="58">
        <v>45778</v>
      </c>
      <c r="C55" s="66">
        <v>1075070</v>
      </c>
      <c r="D55" s="66">
        <v>151639</v>
      </c>
      <c r="E55" s="66">
        <v>978119</v>
      </c>
      <c r="F55" s="66">
        <v>797738</v>
      </c>
      <c r="G55" s="66">
        <v>128772</v>
      </c>
      <c r="H55" s="66">
        <v>3123832</v>
      </c>
      <c r="I55" s="66"/>
      <c r="J55" s="66">
        <v>412217</v>
      </c>
      <c r="K55" s="66">
        <v>914</v>
      </c>
      <c r="L55" s="66" t="s">
        <v>71</v>
      </c>
      <c r="M55" s="66" t="s">
        <v>71</v>
      </c>
      <c r="N55" s="66" t="s">
        <v>71</v>
      </c>
      <c r="O55" s="66" t="s">
        <v>71</v>
      </c>
      <c r="P55" s="66">
        <v>413131</v>
      </c>
      <c r="Q55" s="66">
        <v>269845</v>
      </c>
      <c r="R55" s="66">
        <v>23596</v>
      </c>
      <c r="S55" s="66">
        <v>3830404</v>
      </c>
    </row>
    <row r="56" spans="1:19" x14ac:dyDescent="0.3">
      <c r="A56" s="58">
        <v>45809</v>
      </c>
      <c r="C56" s="66">
        <v>1034376</v>
      </c>
      <c r="D56" s="66">
        <v>266168</v>
      </c>
      <c r="E56" s="66">
        <v>503663</v>
      </c>
      <c r="F56" s="66">
        <v>672285</v>
      </c>
      <c r="G56" s="66">
        <v>276811</v>
      </c>
      <c r="H56" s="66">
        <v>2730717</v>
      </c>
      <c r="I56" s="66"/>
      <c r="J56" s="66">
        <v>417861</v>
      </c>
      <c r="K56" s="66">
        <v>2377</v>
      </c>
      <c r="L56" s="66" t="s">
        <v>71</v>
      </c>
      <c r="M56" s="66" t="s">
        <v>71</v>
      </c>
      <c r="N56" s="66" t="s">
        <v>71</v>
      </c>
      <c r="O56" s="66" t="s">
        <v>71</v>
      </c>
      <c r="P56" s="66">
        <v>420238</v>
      </c>
      <c r="Q56" s="66">
        <v>333897</v>
      </c>
      <c r="R56" s="66">
        <v>17244</v>
      </c>
      <c r="S56" s="66">
        <v>3502096</v>
      </c>
    </row>
    <row r="57" spans="1:19" x14ac:dyDescent="0.3">
      <c r="A57" s="58">
        <v>45839</v>
      </c>
      <c r="C57" s="66">
        <v>1140728</v>
      </c>
      <c r="D57" s="66">
        <v>334359</v>
      </c>
      <c r="E57" s="66">
        <v>546773</v>
      </c>
      <c r="F57" s="66">
        <v>820505</v>
      </c>
      <c r="G57" s="66">
        <v>173932</v>
      </c>
      <c r="H57" s="66">
        <v>2970956</v>
      </c>
      <c r="I57" s="66"/>
      <c r="J57" s="66">
        <v>422587</v>
      </c>
      <c r="K57" s="66">
        <v>3577</v>
      </c>
      <c r="L57" s="66" t="s">
        <v>71</v>
      </c>
      <c r="M57" s="66" t="s">
        <v>71</v>
      </c>
      <c r="N57" s="66"/>
      <c r="O57" s="66" t="s">
        <v>71</v>
      </c>
      <c r="P57" s="66">
        <v>426164</v>
      </c>
      <c r="Q57" s="66">
        <v>403181</v>
      </c>
      <c r="R57" s="66">
        <v>16300</v>
      </c>
      <c r="S57" s="66">
        <v>3816601</v>
      </c>
    </row>
    <row r="58" spans="1:19" x14ac:dyDescent="0.3">
      <c r="A58" s="58">
        <v>45870</v>
      </c>
      <c r="C58" s="66">
        <v>1017382</v>
      </c>
      <c r="D58" s="66">
        <v>219018</v>
      </c>
      <c r="E58" s="66">
        <v>915969</v>
      </c>
      <c r="F58" s="66">
        <v>790731</v>
      </c>
      <c r="G58" s="66">
        <v>124942</v>
      </c>
      <c r="H58" s="66">
        <v>3146806</v>
      </c>
      <c r="I58" s="66"/>
      <c r="J58" s="66">
        <v>416200</v>
      </c>
      <c r="K58" s="66">
        <v>4962</v>
      </c>
      <c r="L58" s="66" t="s">
        <v>71</v>
      </c>
      <c r="M58" s="66" t="s">
        <v>71</v>
      </c>
      <c r="N58" s="66">
        <v>533</v>
      </c>
      <c r="O58" s="66" t="s">
        <v>71</v>
      </c>
      <c r="P58" s="66">
        <v>421695</v>
      </c>
      <c r="Q58" s="66">
        <v>371376</v>
      </c>
      <c r="R58" s="66">
        <v>16383</v>
      </c>
      <c r="S58" s="66">
        <v>3956260</v>
      </c>
    </row>
    <row r="59" spans="1:19" x14ac:dyDescent="0.3">
      <c r="A59" s="58">
        <v>45901</v>
      </c>
      <c r="C59" s="66">
        <v>1041131</v>
      </c>
      <c r="D59" s="66">
        <v>203743</v>
      </c>
      <c r="E59" s="66">
        <v>714959</v>
      </c>
      <c r="F59" s="66">
        <v>850787</v>
      </c>
      <c r="G59" s="66">
        <v>134969</v>
      </c>
      <c r="H59" s="66">
        <v>2875506</v>
      </c>
      <c r="I59" s="66"/>
      <c r="J59" s="66">
        <v>407109</v>
      </c>
      <c r="K59" s="66">
        <v>1081</v>
      </c>
      <c r="L59" s="66" t="s">
        <v>71</v>
      </c>
      <c r="M59" s="66" t="s">
        <v>71</v>
      </c>
      <c r="N59" s="66">
        <v>500</v>
      </c>
      <c r="O59" s="66" t="s">
        <v>71</v>
      </c>
      <c r="P59" s="66">
        <v>408690</v>
      </c>
      <c r="Q59" s="66">
        <v>415743</v>
      </c>
      <c r="R59" s="66">
        <v>28379</v>
      </c>
      <c r="S59" s="66">
        <v>3728318</v>
      </c>
    </row>
    <row r="60" spans="1:19" x14ac:dyDescent="0.3">
      <c r="A60" s="58">
        <v>45931</v>
      </c>
      <c r="C60" s="66">
        <v>1072270</v>
      </c>
      <c r="D60" s="66">
        <v>287828</v>
      </c>
      <c r="E60" s="66">
        <v>998159</v>
      </c>
      <c r="F60" s="66">
        <v>879095</v>
      </c>
      <c r="G60" s="66">
        <v>147561</v>
      </c>
      <c r="H60" s="66">
        <v>3344013</v>
      </c>
      <c r="I60" s="66"/>
      <c r="J60" s="66">
        <v>384946</v>
      </c>
      <c r="K60" s="66">
        <v>681</v>
      </c>
      <c r="L60" s="66" t="s">
        <v>71</v>
      </c>
      <c r="M60" s="66" t="s">
        <v>71</v>
      </c>
      <c r="N60" s="66" t="s">
        <v>71</v>
      </c>
      <c r="O60" s="66" t="s">
        <v>71</v>
      </c>
      <c r="P60" s="66">
        <v>385627</v>
      </c>
      <c r="Q60" s="66">
        <v>306173</v>
      </c>
      <c r="R60" s="66">
        <v>16014</v>
      </c>
      <c r="S60" s="66">
        <v>4051827</v>
      </c>
    </row>
    <row r="61" spans="1:19" x14ac:dyDescent="0.3">
      <c r="A61" s="58">
        <v>45962</v>
      </c>
      <c r="C61" s="66">
        <v>1118878</v>
      </c>
      <c r="D61" s="66">
        <v>224728</v>
      </c>
      <c r="E61" s="66">
        <v>944556</v>
      </c>
      <c r="F61" s="66">
        <v>879095</v>
      </c>
      <c r="G61" s="66">
        <v>147561</v>
      </c>
      <c r="H61" s="66">
        <f>SUM(C61:G61)</f>
        <v>3314818</v>
      </c>
      <c r="I61" s="66"/>
      <c r="J61" s="66">
        <v>445436</v>
      </c>
      <c r="K61" s="66">
        <v>55</v>
      </c>
      <c r="L61" s="66"/>
      <c r="M61" s="66"/>
      <c r="N61" s="66"/>
      <c r="O61" s="66"/>
      <c r="P61" s="66">
        <v>445491</v>
      </c>
      <c r="Q61" s="66">
        <v>330613</v>
      </c>
      <c r="R61" s="66">
        <v>16306</v>
      </c>
      <c r="S61" s="66">
        <v>4107228</v>
      </c>
    </row>
    <row r="62" spans="1:19" x14ac:dyDescent="0.3">
      <c r="A62" s="58">
        <v>45992</v>
      </c>
      <c r="C62" s="66">
        <v>1464739</v>
      </c>
      <c r="D62" s="66">
        <v>276153</v>
      </c>
      <c r="E62" s="66">
        <v>826938</v>
      </c>
      <c r="F62" s="66">
        <v>974490</v>
      </c>
      <c r="G62" s="66">
        <v>164457</v>
      </c>
      <c r="H62" s="66">
        <f>SUM(C62:G62)</f>
        <v>3706777</v>
      </c>
      <c r="I62" s="66"/>
      <c r="J62" s="66">
        <v>437066</v>
      </c>
      <c r="K62" s="66">
        <v>818</v>
      </c>
      <c r="L62" s="66"/>
      <c r="M62" s="66"/>
      <c r="N62" s="66">
        <v>744</v>
      </c>
      <c r="O62" s="66">
        <v>14980</v>
      </c>
      <c r="P62" s="66">
        <v>453608</v>
      </c>
      <c r="Q62" s="66">
        <v>293763</v>
      </c>
      <c r="R62" s="66">
        <v>11563</v>
      </c>
      <c r="S62" s="66">
        <v>4465211</v>
      </c>
    </row>
    <row r="63" spans="1:19" x14ac:dyDescent="0.3">
      <c r="A63" s="58">
        <v>46023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</row>
    <row r="64" spans="1:19" x14ac:dyDescent="0.3">
      <c r="A64" s="58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</row>
    <row r="65" spans="1:19" x14ac:dyDescent="0.3">
      <c r="A65" s="58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</row>
    <row r="66" spans="1:19" x14ac:dyDescent="0.3">
      <c r="A66" s="58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Fuel Prices</vt:lpstr>
      <vt:lpstr>CPI Old</vt:lpstr>
      <vt:lpstr>CPI</vt:lpstr>
      <vt:lpstr>Inflation</vt:lpstr>
      <vt:lpstr>I R Old</vt:lpstr>
      <vt:lpstr>Interest Rates</vt:lpstr>
      <vt:lpstr>NSE</vt:lpstr>
      <vt:lpstr>Money Supply</vt:lpstr>
      <vt:lpstr>Forex Reserves</vt:lpstr>
      <vt:lpstr>Coffee</vt:lpstr>
      <vt:lpstr>Tea</vt:lpstr>
      <vt:lpstr>Tea&amp;Coffe Exo</vt:lpstr>
      <vt:lpstr>External Trade</vt:lpstr>
      <vt:lpstr>Mobile Money Trans</vt:lpstr>
      <vt:lpstr>Intl ICT Trade</vt:lpstr>
      <vt:lpstr>Electricity Source</vt:lpstr>
      <vt:lpstr>Vehicle assembly</vt:lpstr>
      <vt:lpstr>Visitors arrival</vt:lpstr>
      <vt:lpstr>Vehicle Reg</vt:lpstr>
      <vt:lpstr>SGR</vt:lpstr>
      <vt:lpstr>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 N</dc:creator>
  <cp:lastModifiedBy>Morris N</cp:lastModifiedBy>
  <dcterms:created xsi:type="dcterms:W3CDTF">2024-04-01T19:43:32Z</dcterms:created>
  <dcterms:modified xsi:type="dcterms:W3CDTF">2026-04-12T06:50:07Z</dcterms:modified>
</cp:coreProperties>
</file>